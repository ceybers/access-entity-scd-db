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701"/>
  <workbookPr/>
  <mc:AlternateContent xmlns:mc="http://schemas.openxmlformats.org/markup-compatibility/2006">
    <mc:Choice Requires="x15">
      <x15ac:absPath xmlns:x15ac="http://schemas.microsoft.com/office/spreadsheetml/2010/11/ac" url="C:\Users\User\Documents\access-entity-scd-db\Notes\"/>
    </mc:Choice>
  </mc:AlternateContent>
  <xr:revisionPtr revIDLastSave="0" documentId="13_ncr:1_{A82D1F6F-BE4E-4215-B758-0BCCDC43E33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15" i="1" l="1"/>
  <c r="K14" i="1"/>
  <c r="K13" i="1"/>
  <c r="K12" i="1"/>
  <c r="K11" i="1"/>
  <c r="K10" i="1"/>
  <c r="J16" i="1"/>
  <c r="J15" i="1"/>
  <c r="J14" i="1"/>
  <c r="J13" i="1"/>
  <c r="J12" i="1"/>
  <c r="J11" i="1"/>
  <c r="J10" i="1"/>
  <c r="H15" i="1"/>
  <c r="G15" i="1"/>
  <c r="F15" i="1"/>
  <c r="H14" i="1"/>
  <c r="G14" i="1"/>
  <c r="F14" i="1"/>
  <c r="H13" i="1"/>
  <c r="G13" i="1"/>
  <c r="F13" i="1"/>
  <c r="H12" i="1"/>
  <c r="G12" i="1"/>
  <c r="F12" i="1"/>
  <c r="H11" i="1"/>
  <c r="G11" i="1"/>
  <c r="F11" i="1"/>
  <c r="H10" i="1"/>
  <c r="G10" i="1"/>
  <c r="F10" i="1"/>
  <c r="E15" i="1"/>
  <c r="E14" i="1"/>
  <c r="E13" i="1"/>
  <c r="E12" i="1"/>
  <c r="E11" i="1"/>
  <c r="E10" i="1"/>
  <c r="D15" i="1"/>
  <c r="D14" i="1"/>
  <c r="D13" i="1"/>
  <c r="D12" i="1"/>
  <c r="D11" i="1"/>
  <c r="D10" i="1"/>
  <c r="C15" i="1"/>
  <c r="C14" i="1"/>
  <c r="C13" i="1"/>
  <c r="C12" i="1"/>
  <c r="C11" i="1"/>
  <c r="C10" i="1"/>
</calcChain>
</file>

<file path=xl/sharedStrings.xml><?xml version="1.0" encoding="utf-8"?>
<sst xmlns="http://schemas.openxmlformats.org/spreadsheetml/2006/main" count="13" uniqueCount="7">
  <si>
    <t>LoadEntityTypes</t>
  </si>
  <si>
    <t>LoadEntities</t>
  </si>
  <si>
    <t>LoadCommits</t>
  </si>
  <si>
    <t>LoadTracks</t>
  </si>
  <si>
    <t>LoadLookupTables</t>
  </si>
  <si>
    <t>LoadDetailTables</t>
  </si>
  <si>
    <t>Start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</si>
</sst>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">
    <xf numFmtId="0" fontId="0" fillId="0" borderId="0" xfId="0"/>
    <xf numFmtId="9" fontId="0" fillId="0" borderId="0" xfId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K16"/>
  <sheetViews>
    <sheetView tabSelected="1" workbookViewId="0">
      <selection activeCell="K10" sqref="K10:K15"/>
    </sheetView>
  </sheetViews>
  <sheetFormatPr defaultRowHeight="15" x14ac:dyDescent="0.25"/>
  <cols>
    <col min="1" max="1" width="17.5703125" bestFit="1" customWidth="1"/>
  </cols>
  <sheetData>
    <row r="2" spans="1:11" x14ac:dyDescent="0.25">
      <c r="A2" t="s">
        <v>6</v>
      </c>
      <c r="C2">
        <v>0.140625</v>
      </c>
      <c r="D2">
        <v>0.36328129999999997</v>
      </c>
      <c r="E2">
        <v>-0.1015625</v>
      </c>
      <c r="F2">
        <v>-5.46875E-2</v>
      </c>
      <c r="G2">
        <v>0.36328129999999997</v>
      </c>
      <c r="H2">
        <v>7.03125E-2</v>
      </c>
    </row>
    <row r="3" spans="1:11" x14ac:dyDescent="0.25">
      <c r="A3" t="s">
        <v>0</v>
      </c>
      <c r="C3">
        <v>0.15625</v>
      </c>
      <c r="D3">
        <v>0.36328129999999997</v>
      </c>
      <c r="E3">
        <v>-9.7656300000000001E-2</v>
      </c>
      <c r="F3">
        <v>-5.46875E-2</v>
      </c>
      <c r="G3">
        <v>0.3671875</v>
      </c>
      <c r="H3">
        <v>7.8125E-2</v>
      </c>
    </row>
    <row r="4" spans="1:11" x14ac:dyDescent="0.25">
      <c r="A4" t="s">
        <v>1</v>
      </c>
      <c r="C4">
        <v>0.30859379999999997</v>
      </c>
      <c r="D4">
        <v>0.546875</v>
      </c>
      <c r="E4">
        <v>4.2968800000000001E-2</v>
      </c>
      <c r="F4">
        <v>8.59375E-2</v>
      </c>
      <c r="G4">
        <v>0.4921875</v>
      </c>
      <c r="H4">
        <v>0.21875</v>
      </c>
    </row>
    <row r="5" spans="1:11" x14ac:dyDescent="0.25">
      <c r="A5" t="s">
        <v>2</v>
      </c>
      <c r="C5">
        <v>0.31640629999999997</v>
      </c>
      <c r="D5">
        <v>0.546875</v>
      </c>
      <c r="E5">
        <v>4.2968800000000001E-2</v>
      </c>
      <c r="F5">
        <v>0.1015625</v>
      </c>
      <c r="G5">
        <v>0.5078125</v>
      </c>
      <c r="H5">
        <v>0.234375</v>
      </c>
    </row>
    <row r="6" spans="1:11" x14ac:dyDescent="0.25">
      <c r="A6" t="s">
        <v>3</v>
      </c>
      <c r="C6">
        <v>0.7734375</v>
      </c>
      <c r="D6">
        <v>1.078125</v>
      </c>
      <c r="E6">
        <v>0.54296880000000003</v>
      </c>
      <c r="F6">
        <v>0.5859375</v>
      </c>
      <c r="G6">
        <v>0.9921875</v>
      </c>
      <c r="H6">
        <v>0.734375</v>
      </c>
    </row>
    <row r="7" spans="1:11" x14ac:dyDescent="0.25">
      <c r="A7" t="s">
        <v>4</v>
      </c>
      <c r="C7">
        <v>0.8203125</v>
      </c>
      <c r="D7">
        <v>1.09375</v>
      </c>
      <c r="E7">
        <v>0.57421880000000003</v>
      </c>
      <c r="F7">
        <v>0.6015625</v>
      </c>
      <c r="G7">
        <v>1.0234375</v>
      </c>
      <c r="H7">
        <v>0.765625</v>
      </c>
    </row>
    <row r="8" spans="1:11" x14ac:dyDescent="0.25">
      <c r="A8" t="s">
        <v>5</v>
      </c>
      <c r="C8">
        <v>1.0546875</v>
      </c>
      <c r="D8">
        <v>1.40625</v>
      </c>
      <c r="E8">
        <v>0.85546880000000003</v>
      </c>
      <c r="F8">
        <v>0.8828125</v>
      </c>
      <c r="G8">
        <v>1.3046875</v>
      </c>
      <c r="H8">
        <v>1.046875</v>
      </c>
    </row>
    <row r="10" spans="1:11" x14ac:dyDescent="0.25">
      <c r="A10" t="s">
        <v>0</v>
      </c>
      <c r="C10">
        <f>C3-C2</f>
        <v>1.5625E-2</v>
      </c>
      <c r="D10">
        <f>D3-D2</f>
        <v>0</v>
      </c>
      <c r="E10">
        <f>E3-E2</f>
        <v>3.9061999999999986E-3</v>
      </c>
      <c r="F10">
        <f t="shared" ref="F10:H10" si="0">F3-F2</f>
        <v>0</v>
      </c>
      <c r="G10">
        <f t="shared" si="0"/>
        <v>3.9062000000000263E-3</v>
      </c>
      <c r="H10">
        <f t="shared" si="0"/>
        <v>7.8125E-3</v>
      </c>
      <c r="J10">
        <f>AVERAGE(C10:H10)</f>
        <v>5.2083166666666708E-3</v>
      </c>
      <c r="K10" s="1">
        <f>J10/$J$16</f>
        <v>5.4163672778128006E-3</v>
      </c>
    </row>
    <row r="11" spans="1:11" x14ac:dyDescent="0.25">
      <c r="A11" t="s">
        <v>1</v>
      </c>
      <c r="C11">
        <f t="shared" ref="C11:D15" si="1">C4-C3</f>
        <v>0.15234379999999997</v>
      </c>
      <c r="D11">
        <f t="shared" si="1"/>
        <v>0.18359370000000003</v>
      </c>
      <c r="E11">
        <f t="shared" ref="E11:H11" si="2">E4-E3</f>
        <v>0.1406251</v>
      </c>
      <c r="F11">
        <f t="shared" si="2"/>
        <v>0.140625</v>
      </c>
      <c r="G11">
        <f t="shared" si="2"/>
        <v>0.125</v>
      </c>
      <c r="H11">
        <f t="shared" si="2"/>
        <v>0.140625</v>
      </c>
      <c r="J11">
        <f t="shared" ref="J11:J15" si="3">AVERAGE(C11:H11)</f>
        <v>0.14713543333333334</v>
      </c>
      <c r="K11" s="1">
        <f t="shared" ref="K11:K15" si="4">J11/$J$16</f>
        <v>0.15301288257181103</v>
      </c>
    </row>
    <row r="12" spans="1:11" x14ac:dyDescent="0.25">
      <c r="A12" t="s">
        <v>2</v>
      </c>
      <c r="C12">
        <f t="shared" si="1"/>
        <v>7.8125E-3</v>
      </c>
      <c r="D12">
        <f t="shared" si="1"/>
        <v>0</v>
      </c>
      <c r="E12">
        <f t="shared" ref="E12:H12" si="5">E5-E4</f>
        <v>0</v>
      </c>
      <c r="F12">
        <f t="shared" si="5"/>
        <v>1.5625E-2</v>
      </c>
      <c r="G12">
        <f t="shared" si="5"/>
        <v>1.5625E-2</v>
      </c>
      <c r="H12">
        <f t="shared" si="5"/>
        <v>1.5625E-2</v>
      </c>
      <c r="J12">
        <f t="shared" si="3"/>
        <v>9.1145833333333339E-3</v>
      </c>
      <c r="K12" s="1">
        <f t="shared" si="4"/>
        <v>9.4786730679262115E-3</v>
      </c>
    </row>
    <row r="13" spans="1:11" x14ac:dyDescent="0.25">
      <c r="A13" t="s">
        <v>3</v>
      </c>
      <c r="C13">
        <f t="shared" si="1"/>
        <v>0.45703120000000003</v>
      </c>
      <c r="D13">
        <f t="shared" si="1"/>
        <v>0.53125</v>
      </c>
      <c r="E13">
        <f t="shared" ref="E13:H13" si="6">E6-E5</f>
        <v>0.5</v>
      </c>
      <c r="F13">
        <f t="shared" si="6"/>
        <v>0.484375</v>
      </c>
      <c r="G13">
        <f t="shared" si="6"/>
        <v>0.484375</v>
      </c>
      <c r="H13">
        <f t="shared" si="6"/>
        <v>0.5</v>
      </c>
      <c r="J13">
        <f t="shared" si="3"/>
        <v>0.49283853333333338</v>
      </c>
      <c r="K13" s="1">
        <f t="shared" si="4"/>
        <v>0.51252538507808054</v>
      </c>
    </row>
    <row r="14" spans="1:11" x14ac:dyDescent="0.25">
      <c r="A14" t="s">
        <v>4</v>
      </c>
      <c r="C14">
        <f t="shared" si="1"/>
        <v>4.6875E-2</v>
      </c>
      <c r="D14">
        <f t="shared" si="1"/>
        <v>1.5625E-2</v>
      </c>
      <c r="E14">
        <f t="shared" ref="E14:H14" si="7">E7-E6</f>
        <v>3.125E-2</v>
      </c>
      <c r="F14">
        <f t="shared" si="7"/>
        <v>1.5625E-2</v>
      </c>
      <c r="G14">
        <f t="shared" si="7"/>
        <v>3.125E-2</v>
      </c>
      <c r="H14">
        <f t="shared" si="7"/>
        <v>3.125E-2</v>
      </c>
      <c r="J14">
        <f t="shared" si="3"/>
        <v>2.8645833333333332E-2</v>
      </c>
      <c r="K14" s="1">
        <f t="shared" si="4"/>
        <v>2.9790115356339519E-2</v>
      </c>
    </row>
    <row r="15" spans="1:11" x14ac:dyDescent="0.25">
      <c r="A15" t="s">
        <v>5</v>
      </c>
      <c r="C15">
        <f t="shared" si="1"/>
        <v>0.234375</v>
      </c>
      <c r="D15">
        <f t="shared" si="1"/>
        <v>0.3125</v>
      </c>
      <c r="E15">
        <f t="shared" ref="E15:H15" si="8">E8-E7</f>
        <v>0.28125</v>
      </c>
      <c r="F15">
        <f t="shared" si="8"/>
        <v>0.28125</v>
      </c>
      <c r="G15">
        <f t="shared" si="8"/>
        <v>0.28125</v>
      </c>
      <c r="H15">
        <f t="shared" si="8"/>
        <v>0.28125</v>
      </c>
      <c r="J15">
        <f t="shared" si="3"/>
        <v>0.27864583333333331</v>
      </c>
      <c r="K15" s="1">
        <f t="shared" si="4"/>
        <v>0.28977657664802986</v>
      </c>
    </row>
    <row r="16" spans="1:11" x14ac:dyDescent="0.25">
      <c r="J16">
        <f>SUM(J10:J15)</f>
        <v>0.96158853333333338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2015-06-05T18:17:20Z</dcterms:created>
  <dcterms:modified xsi:type="dcterms:W3CDTF">2022-01-03T13:25:49Z</dcterms:modified>
</cp:coreProperties>
</file>