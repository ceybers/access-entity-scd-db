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C:\Users\User\Documents\access-entity-scd-db\Notes\"/>
    </mc:Choice>
  </mc:AlternateContent>
  <xr:revisionPtr revIDLastSave="0" documentId="13_ncr:1_{7F7C4C0F-87EC-4866-AEA6-ACD96A297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4" i="1" l="1"/>
  <c r="G34" i="1"/>
  <c r="F34" i="1"/>
  <c r="E34" i="1"/>
  <c r="D34" i="1"/>
  <c r="C34" i="1"/>
  <c r="H33" i="1"/>
  <c r="G33" i="1"/>
  <c r="F33" i="1"/>
  <c r="E33" i="1"/>
  <c r="D33" i="1"/>
  <c r="C33" i="1"/>
  <c r="H32" i="1"/>
  <c r="G32" i="1"/>
  <c r="F32" i="1"/>
  <c r="E32" i="1"/>
  <c r="D32" i="1"/>
  <c r="C32" i="1"/>
  <c r="H31" i="1"/>
  <c r="G31" i="1"/>
  <c r="F31" i="1"/>
  <c r="E31" i="1"/>
  <c r="D31" i="1"/>
  <c r="C31" i="1"/>
  <c r="H30" i="1"/>
  <c r="G30" i="1"/>
  <c r="F30" i="1"/>
  <c r="E30" i="1"/>
  <c r="D30" i="1"/>
  <c r="C30" i="1"/>
  <c r="H29" i="1"/>
  <c r="G29" i="1"/>
  <c r="F29" i="1"/>
  <c r="E29" i="1"/>
  <c r="D29" i="1"/>
  <c r="C29" i="1"/>
  <c r="K15" i="1"/>
  <c r="K14" i="1"/>
  <c r="K13" i="1"/>
  <c r="K12" i="1"/>
  <c r="K11" i="1"/>
  <c r="K10" i="1"/>
  <c r="J16" i="1"/>
  <c r="J15" i="1"/>
  <c r="J14" i="1"/>
  <c r="J13" i="1"/>
  <c r="J12" i="1"/>
  <c r="J11" i="1"/>
  <c r="J10" i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H10" i="1"/>
  <c r="G10" i="1"/>
  <c r="F10" i="1"/>
  <c r="E15" i="1"/>
  <c r="E14" i="1"/>
  <c r="E13" i="1"/>
  <c r="E12" i="1"/>
  <c r="E11" i="1"/>
  <c r="E10" i="1"/>
  <c r="D15" i="1"/>
  <c r="D14" i="1"/>
  <c r="D13" i="1"/>
  <c r="D12" i="1"/>
  <c r="D11" i="1"/>
  <c r="D10" i="1"/>
  <c r="C15" i="1"/>
  <c r="C14" i="1"/>
  <c r="C13" i="1"/>
  <c r="C12" i="1"/>
  <c r="C11" i="1"/>
  <c r="C10" i="1"/>
  <c r="J34" i="1" l="1"/>
  <c r="K34" i="1" s="1"/>
  <c r="J29" i="1"/>
  <c r="K29" i="1" s="1"/>
  <c r="J31" i="1"/>
  <c r="K31" i="1" s="1"/>
  <c r="J33" i="1"/>
  <c r="K33" i="1" s="1"/>
  <c r="J30" i="1"/>
  <c r="K30" i="1" s="1"/>
  <c r="J32" i="1"/>
  <c r="K32" i="1" s="1"/>
  <c r="J35" i="1" l="1"/>
</calcChain>
</file>

<file path=xl/sharedStrings.xml><?xml version="1.0" encoding="utf-8"?>
<sst xmlns="http://schemas.openxmlformats.org/spreadsheetml/2006/main" count="26" uniqueCount="7">
  <si>
    <t>LoadEntityTypes</t>
  </si>
  <si>
    <t>LoadEntities</t>
  </si>
  <si>
    <t>LoadCommits</t>
  </si>
  <si>
    <t>LoadTracks</t>
  </si>
  <si>
    <t>LoadLookupTables</t>
  </si>
  <si>
    <t>LoadDetailTables</t>
  </si>
  <si>
    <t>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</si>
</sst>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35"/>
  <sheetViews>
    <sheetView tabSelected="1" workbookViewId="0">
      <selection activeCell="H21" sqref="H21:H27"/>
    </sheetView>
  </sheetViews>
  <sheetFormatPr defaultRowHeight="15" x14ac:dyDescent="0.25"/>
  <cols>
    <col min="1" max="1" width="17.5703125" bestFit="1" customWidth="1"/>
  </cols>
  <sheetData>
    <row r="2" spans="1:11" x14ac:dyDescent="0.25">
      <c r="A2" t="s">
        <v>6</v>
      </c>
      <c r="C2">
        <v>0.140625</v>
      </c>
      <c r="D2">
        <v>0.36328129999999997</v>
      </c>
      <c r="E2">
        <v>-0.1015625</v>
      </c>
      <c r="F2">
        <v>-5.46875E-2</v>
      </c>
      <c r="G2">
        <v>0.36328129999999997</v>
      </c>
      <c r="H2">
        <v>7.03125E-2</v>
      </c>
    </row>
    <row r="3" spans="1:11" x14ac:dyDescent="0.25">
      <c r="A3" t="s">
        <v>0</v>
      </c>
      <c r="C3">
        <v>0.15625</v>
      </c>
      <c r="D3">
        <v>0.36328129999999997</v>
      </c>
      <c r="E3">
        <v>-9.7656300000000001E-2</v>
      </c>
      <c r="F3">
        <v>-5.46875E-2</v>
      </c>
      <c r="G3">
        <v>0.3671875</v>
      </c>
      <c r="H3">
        <v>7.8125E-2</v>
      </c>
    </row>
    <row r="4" spans="1:11" x14ac:dyDescent="0.25">
      <c r="A4" t="s">
        <v>1</v>
      </c>
      <c r="C4">
        <v>0.30859379999999997</v>
      </c>
      <c r="D4">
        <v>0.546875</v>
      </c>
      <c r="E4">
        <v>4.2968800000000001E-2</v>
      </c>
      <c r="F4">
        <v>8.59375E-2</v>
      </c>
      <c r="G4">
        <v>0.4921875</v>
      </c>
      <c r="H4">
        <v>0.21875</v>
      </c>
    </row>
    <row r="5" spans="1:11" x14ac:dyDescent="0.25">
      <c r="A5" t="s">
        <v>2</v>
      </c>
      <c r="C5">
        <v>0.31640629999999997</v>
      </c>
      <c r="D5">
        <v>0.546875</v>
      </c>
      <c r="E5">
        <v>4.2968800000000001E-2</v>
      </c>
      <c r="F5">
        <v>0.1015625</v>
      </c>
      <c r="G5">
        <v>0.5078125</v>
      </c>
      <c r="H5">
        <v>0.234375</v>
      </c>
    </row>
    <row r="6" spans="1:11" x14ac:dyDescent="0.25">
      <c r="A6" t="s">
        <v>3</v>
      </c>
      <c r="C6">
        <v>0.7734375</v>
      </c>
      <c r="D6">
        <v>1.078125</v>
      </c>
      <c r="E6">
        <v>0.54296880000000003</v>
      </c>
      <c r="F6">
        <v>0.5859375</v>
      </c>
      <c r="G6">
        <v>0.9921875</v>
      </c>
      <c r="H6">
        <v>0.734375</v>
      </c>
    </row>
    <row r="7" spans="1:11" x14ac:dyDescent="0.25">
      <c r="A7" t="s">
        <v>4</v>
      </c>
      <c r="C7">
        <v>0.8203125</v>
      </c>
      <c r="D7">
        <v>1.09375</v>
      </c>
      <c r="E7">
        <v>0.57421880000000003</v>
      </c>
      <c r="F7">
        <v>0.6015625</v>
      </c>
      <c r="G7">
        <v>1.0234375</v>
      </c>
      <c r="H7">
        <v>0.765625</v>
      </c>
    </row>
    <row r="8" spans="1:11" x14ac:dyDescent="0.25">
      <c r="A8" t="s">
        <v>5</v>
      </c>
      <c r="C8">
        <v>1.0546875</v>
      </c>
      <c r="D8">
        <v>1.40625</v>
      </c>
      <c r="E8">
        <v>0.85546880000000003</v>
      </c>
      <c r="F8">
        <v>0.8828125</v>
      </c>
      <c r="G8">
        <v>1.3046875</v>
      </c>
      <c r="H8">
        <v>1.046875</v>
      </c>
    </row>
    <row r="10" spans="1:11" x14ac:dyDescent="0.25">
      <c r="A10" t="s">
        <v>0</v>
      </c>
      <c r="C10">
        <f>C3-C2</f>
        <v>1.5625E-2</v>
      </c>
      <c r="D10">
        <f>D3-D2</f>
        <v>0</v>
      </c>
      <c r="E10">
        <f>E3-E2</f>
        <v>3.9061999999999986E-3</v>
      </c>
      <c r="F10">
        <f t="shared" ref="F10:H10" si="0">F3-F2</f>
        <v>0</v>
      </c>
      <c r="G10">
        <f t="shared" si="0"/>
        <v>3.9062000000000263E-3</v>
      </c>
      <c r="H10">
        <f t="shared" si="0"/>
        <v>7.8125E-3</v>
      </c>
      <c r="J10">
        <f>AVERAGE(C10:H10)</f>
        <v>5.2083166666666708E-3</v>
      </c>
      <c r="K10" s="1">
        <f>J10/$J$16</f>
        <v>5.4163672778128006E-3</v>
      </c>
    </row>
    <row r="11" spans="1:11" x14ac:dyDescent="0.25">
      <c r="A11" t="s">
        <v>1</v>
      </c>
      <c r="C11">
        <f t="shared" ref="C11:D15" si="1">C4-C3</f>
        <v>0.15234379999999997</v>
      </c>
      <c r="D11">
        <f t="shared" si="1"/>
        <v>0.18359370000000003</v>
      </c>
      <c r="E11">
        <f t="shared" ref="E11:H11" si="2">E4-E3</f>
        <v>0.1406251</v>
      </c>
      <c r="F11">
        <f t="shared" si="2"/>
        <v>0.140625</v>
      </c>
      <c r="G11">
        <f t="shared" si="2"/>
        <v>0.125</v>
      </c>
      <c r="H11">
        <f t="shared" si="2"/>
        <v>0.140625</v>
      </c>
      <c r="J11">
        <f t="shared" ref="J11:J15" si="3">AVERAGE(C11:H11)</f>
        <v>0.14713543333333334</v>
      </c>
      <c r="K11" s="1">
        <f t="shared" ref="K11:K15" si="4">J11/$J$16</f>
        <v>0.15301288257181103</v>
      </c>
    </row>
    <row r="12" spans="1:11" x14ac:dyDescent="0.25">
      <c r="A12" t="s">
        <v>2</v>
      </c>
      <c r="C12">
        <f t="shared" si="1"/>
        <v>7.8125E-3</v>
      </c>
      <c r="D12">
        <f t="shared" si="1"/>
        <v>0</v>
      </c>
      <c r="E12">
        <f t="shared" ref="E12:H12" si="5">E5-E4</f>
        <v>0</v>
      </c>
      <c r="F12">
        <f t="shared" si="5"/>
        <v>1.5625E-2</v>
      </c>
      <c r="G12">
        <f t="shared" si="5"/>
        <v>1.5625E-2</v>
      </c>
      <c r="H12">
        <f t="shared" si="5"/>
        <v>1.5625E-2</v>
      </c>
      <c r="J12">
        <f t="shared" si="3"/>
        <v>9.1145833333333339E-3</v>
      </c>
      <c r="K12" s="1">
        <f t="shared" si="4"/>
        <v>9.4786730679262115E-3</v>
      </c>
    </row>
    <row r="13" spans="1:11" x14ac:dyDescent="0.25">
      <c r="A13" t="s">
        <v>3</v>
      </c>
      <c r="C13">
        <f t="shared" si="1"/>
        <v>0.45703120000000003</v>
      </c>
      <c r="D13">
        <f t="shared" si="1"/>
        <v>0.53125</v>
      </c>
      <c r="E13">
        <f t="shared" ref="E13:H13" si="6">E6-E5</f>
        <v>0.5</v>
      </c>
      <c r="F13">
        <f t="shared" si="6"/>
        <v>0.484375</v>
      </c>
      <c r="G13">
        <f t="shared" si="6"/>
        <v>0.484375</v>
      </c>
      <c r="H13">
        <f t="shared" si="6"/>
        <v>0.5</v>
      </c>
      <c r="J13">
        <f t="shared" si="3"/>
        <v>0.49283853333333338</v>
      </c>
      <c r="K13" s="1">
        <f t="shared" si="4"/>
        <v>0.51252538507808054</v>
      </c>
    </row>
    <row r="14" spans="1:11" x14ac:dyDescent="0.25">
      <c r="A14" t="s">
        <v>4</v>
      </c>
      <c r="C14">
        <f t="shared" si="1"/>
        <v>4.6875E-2</v>
      </c>
      <c r="D14">
        <f t="shared" si="1"/>
        <v>1.5625E-2</v>
      </c>
      <c r="E14">
        <f t="shared" ref="E14:H14" si="7">E7-E6</f>
        <v>3.125E-2</v>
      </c>
      <c r="F14">
        <f t="shared" si="7"/>
        <v>1.5625E-2</v>
      </c>
      <c r="G14">
        <f t="shared" si="7"/>
        <v>3.125E-2</v>
      </c>
      <c r="H14">
        <f t="shared" si="7"/>
        <v>3.125E-2</v>
      </c>
      <c r="J14">
        <f t="shared" si="3"/>
        <v>2.8645833333333332E-2</v>
      </c>
      <c r="K14" s="1">
        <f t="shared" si="4"/>
        <v>2.9790115356339519E-2</v>
      </c>
    </row>
    <row r="15" spans="1:11" x14ac:dyDescent="0.25">
      <c r="A15" t="s">
        <v>5</v>
      </c>
      <c r="C15">
        <f t="shared" si="1"/>
        <v>0.234375</v>
      </c>
      <c r="D15">
        <f t="shared" si="1"/>
        <v>0.3125</v>
      </c>
      <c r="E15">
        <f t="shared" ref="E15:H15" si="8">E8-E7</f>
        <v>0.28125</v>
      </c>
      <c r="F15">
        <f t="shared" si="8"/>
        <v>0.28125</v>
      </c>
      <c r="G15">
        <f t="shared" si="8"/>
        <v>0.28125</v>
      </c>
      <c r="H15">
        <f t="shared" si="8"/>
        <v>0.28125</v>
      </c>
      <c r="J15">
        <f t="shared" si="3"/>
        <v>0.27864583333333331</v>
      </c>
      <c r="K15" s="1">
        <f t="shared" si="4"/>
        <v>0.28977657664802986</v>
      </c>
    </row>
    <row r="16" spans="1:11" x14ac:dyDescent="0.25">
      <c r="J16">
        <f>SUM(J10:J15)</f>
        <v>0.96158853333333338</v>
      </c>
    </row>
    <row r="21" spans="1:11" x14ac:dyDescent="0.25">
      <c r="A21" t="s">
        <v>6</v>
      </c>
      <c r="C21">
        <v>0.265625</v>
      </c>
      <c r="D21">
        <v>0.2109375</v>
      </c>
      <c r="E21">
        <v>0.2578125</v>
      </c>
      <c r="F21">
        <v>-0.2265625</v>
      </c>
      <c r="G21">
        <v>-0.2421875</v>
      </c>
      <c r="H21">
        <v>0.2890625</v>
      </c>
    </row>
    <row r="22" spans="1:11" x14ac:dyDescent="0.25">
      <c r="A22" t="s">
        <v>0</v>
      </c>
      <c r="C22">
        <v>0.265625</v>
      </c>
      <c r="D22">
        <v>0.21875</v>
      </c>
      <c r="E22">
        <v>0.265625</v>
      </c>
      <c r="F22">
        <v>-0.21875</v>
      </c>
      <c r="G22">
        <v>-0.234375</v>
      </c>
      <c r="H22">
        <v>0.2890625</v>
      </c>
    </row>
    <row r="23" spans="1:11" x14ac:dyDescent="0.25">
      <c r="A23" t="s">
        <v>1</v>
      </c>
      <c r="C23">
        <v>0.34375</v>
      </c>
      <c r="D23">
        <v>0.3125</v>
      </c>
      <c r="E23">
        <v>0.359375</v>
      </c>
      <c r="F23">
        <v>-0.15625</v>
      </c>
      <c r="G23">
        <v>-0.140625</v>
      </c>
      <c r="H23">
        <v>0.3828125</v>
      </c>
    </row>
    <row r="24" spans="1:11" x14ac:dyDescent="0.25">
      <c r="A24" t="s">
        <v>2</v>
      </c>
      <c r="C24">
        <v>0.359375</v>
      </c>
      <c r="D24">
        <v>0.3125</v>
      </c>
      <c r="E24">
        <v>0.375</v>
      </c>
      <c r="F24">
        <v>-0.140625</v>
      </c>
      <c r="G24">
        <v>-0.125</v>
      </c>
      <c r="H24">
        <v>0.3984375</v>
      </c>
    </row>
    <row r="25" spans="1:11" x14ac:dyDescent="0.25">
      <c r="A25" t="s">
        <v>3</v>
      </c>
      <c r="C25">
        <v>0.359375</v>
      </c>
      <c r="D25">
        <v>0.328125</v>
      </c>
      <c r="E25">
        <v>0.390625</v>
      </c>
      <c r="F25">
        <v>-0.125</v>
      </c>
      <c r="G25">
        <v>-0.109375</v>
      </c>
      <c r="H25">
        <v>0.4140625</v>
      </c>
    </row>
    <row r="26" spans="1:11" x14ac:dyDescent="0.25">
      <c r="A26" t="s">
        <v>4</v>
      </c>
      <c r="C26">
        <v>0.390625</v>
      </c>
      <c r="D26">
        <v>0.359375</v>
      </c>
      <c r="E26">
        <v>0.421875</v>
      </c>
      <c r="F26">
        <v>-9.375E-2</v>
      </c>
      <c r="G26">
        <v>-9.375E-2</v>
      </c>
      <c r="H26">
        <v>0.4453125</v>
      </c>
    </row>
    <row r="27" spans="1:11" x14ac:dyDescent="0.25">
      <c r="A27" t="s">
        <v>5</v>
      </c>
      <c r="C27">
        <v>0.453125</v>
      </c>
      <c r="D27">
        <v>0.421875</v>
      </c>
      <c r="E27">
        <v>0.484375</v>
      </c>
      <c r="F27">
        <v>-3.125E-2</v>
      </c>
      <c r="G27">
        <v>-1.5625E-2</v>
      </c>
      <c r="H27">
        <v>0.5078125</v>
      </c>
    </row>
    <row r="29" spans="1:11" x14ac:dyDescent="0.25">
      <c r="A29" t="s">
        <v>0</v>
      </c>
      <c r="C29">
        <f>C22-C21</f>
        <v>0</v>
      </c>
      <c r="D29">
        <f>D22-D21</f>
        <v>7.8125E-3</v>
      </c>
      <c r="E29">
        <f>E22-E21</f>
        <v>7.8125E-3</v>
      </c>
      <c r="F29">
        <f t="shared" ref="F29:H29" si="9">F22-F21</f>
        <v>7.8125E-3</v>
      </c>
      <c r="G29">
        <f t="shared" si="9"/>
        <v>7.8125E-3</v>
      </c>
      <c r="H29">
        <f t="shared" si="9"/>
        <v>0</v>
      </c>
      <c r="J29">
        <f>AVERAGE(C29:H29)</f>
        <v>5.208333333333333E-3</v>
      </c>
      <c r="K29" s="1">
        <f>J29/$J$16</f>
        <v>5.4163846102435491E-3</v>
      </c>
    </row>
    <row r="30" spans="1:11" x14ac:dyDescent="0.25">
      <c r="A30" t="s">
        <v>1</v>
      </c>
      <c r="C30">
        <f t="shared" ref="C30:H30" si="10">C23-C22</f>
        <v>7.8125E-2</v>
      </c>
      <c r="D30">
        <f t="shared" si="10"/>
        <v>9.375E-2</v>
      </c>
      <c r="E30">
        <f t="shared" si="10"/>
        <v>9.375E-2</v>
      </c>
      <c r="F30">
        <f t="shared" si="10"/>
        <v>6.25E-2</v>
      </c>
      <c r="G30">
        <f t="shared" si="10"/>
        <v>9.375E-2</v>
      </c>
      <c r="H30">
        <f t="shared" si="10"/>
        <v>9.375E-2</v>
      </c>
      <c r="J30">
        <f t="shared" ref="J30:J34" si="11">AVERAGE(C30:H30)</f>
        <v>8.59375E-2</v>
      </c>
      <c r="K30" s="1">
        <f t="shared" ref="K30:K34" si="12">J30/$J$16</f>
        <v>8.9370346069018572E-2</v>
      </c>
    </row>
    <row r="31" spans="1:11" x14ac:dyDescent="0.25">
      <c r="A31" t="s">
        <v>2</v>
      </c>
      <c r="C31">
        <f t="shared" ref="C31:H31" si="13">C24-C23</f>
        <v>1.5625E-2</v>
      </c>
      <c r="D31">
        <f t="shared" si="13"/>
        <v>0</v>
      </c>
      <c r="E31">
        <f t="shared" si="13"/>
        <v>1.5625E-2</v>
      </c>
      <c r="F31">
        <f t="shared" si="13"/>
        <v>1.5625E-2</v>
      </c>
      <c r="G31">
        <f t="shared" si="13"/>
        <v>1.5625E-2</v>
      </c>
      <c r="H31">
        <f t="shared" si="13"/>
        <v>1.5625E-2</v>
      </c>
      <c r="J31">
        <f t="shared" si="11"/>
        <v>1.3020833333333334E-2</v>
      </c>
      <c r="K31" s="1">
        <f t="shared" si="12"/>
        <v>1.3540961525608875E-2</v>
      </c>
    </row>
    <row r="32" spans="1:11" x14ac:dyDescent="0.25">
      <c r="A32" t="s">
        <v>3</v>
      </c>
      <c r="C32">
        <f t="shared" ref="C32:H32" si="14">C25-C24</f>
        <v>0</v>
      </c>
      <c r="D32">
        <f t="shared" si="14"/>
        <v>1.5625E-2</v>
      </c>
      <c r="E32">
        <f t="shared" si="14"/>
        <v>1.5625E-2</v>
      </c>
      <c r="F32">
        <f t="shared" si="14"/>
        <v>1.5625E-2</v>
      </c>
      <c r="G32">
        <f t="shared" si="14"/>
        <v>1.5625E-2</v>
      </c>
      <c r="H32">
        <f t="shared" si="14"/>
        <v>1.5625E-2</v>
      </c>
      <c r="J32">
        <f t="shared" si="11"/>
        <v>1.3020833333333334E-2</v>
      </c>
      <c r="K32" s="1">
        <f t="shared" si="12"/>
        <v>1.3540961525608875E-2</v>
      </c>
    </row>
    <row r="33" spans="1:11" x14ac:dyDescent="0.25">
      <c r="A33" t="s">
        <v>4</v>
      </c>
      <c r="C33">
        <f t="shared" ref="C33:H33" si="15">C26-C25</f>
        <v>3.125E-2</v>
      </c>
      <c r="D33">
        <f t="shared" si="15"/>
        <v>3.125E-2</v>
      </c>
      <c r="E33">
        <f t="shared" si="15"/>
        <v>3.125E-2</v>
      </c>
      <c r="F33">
        <f t="shared" si="15"/>
        <v>3.125E-2</v>
      </c>
      <c r="G33">
        <f t="shared" si="15"/>
        <v>1.5625E-2</v>
      </c>
      <c r="H33">
        <f t="shared" si="15"/>
        <v>3.125E-2</v>
      </c>
      <c r="J33">
        <f t="shared" si="11"/>
        <v>2.8645833333333332E-2</v>
      </c>
      <c r="K33" s="1">
        <f t="shared" si="12"/>
        <v>2.9790115356339519E-2</v>
      </c>
    </row>
    <row r="34" spans="1:11" x14ac:dyDescent="0.25">
      <c r="A34" t="s">
        <v>5</v>
      </c>
      <c r="C34">
        <f t="shared" ref="C34:H34" si="16">C27-C26</f>
        <v>6.25E-2</v>
      </c>
      <c r="D34">
        <f t="shared" si="16"/>
        <v>6.25E-2</v>
      </c>
      <c r="E34">
        <f t="shared" si="16"/>
        <v>6.25E-2</v>
      </c>
      <c r="F34">
        <f t="shared" si="16"/>
        <v>6.25E-2</v>
      </c>
      <c r="G34">
        <f t="shared" si="16"/>
        <v>7.8125E-2</v>
      </c>
      <c r="H34">
        <f t="shared" si="16"/>
        <v>6.25E-2</v>
      </c>
      <c r="J34">
        <f t="shared" si="11"/>
        <v>6.5104166666666671E-2</v>
      </c>
      <c r="K34" s="1">
        <f t="shared" si="12"/>
        <v>6.7704807628044372E-2</v>
      </c>
    </row>
    <row r="35" spans="1:11" x14ac:dyDescent="0.25">
      <c r="J35">
        <f>SUM(J29:J34)</f>
        <v>0.2109375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2022-01-03T17:54:49Z</dcterms:modified>
</cp:coreProperties>
</file>