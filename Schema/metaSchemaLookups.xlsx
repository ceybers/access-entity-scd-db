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xvba-access-test\"/>
    </mc:Choice>
  </mc:AlternateContent>
  <xr:revisionPtr revIDLastSave="0" documentId="13_ncr:1_{99030082-B0CC-4320-A62B-CE7A637D87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SchemaLookup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C94" i="1"/>
  <c r="C165" i="1"/>
  <c r="D165" i="1"/>
  <c r="C164" i="1"/>
  <c r="D164" i="1"/>
  <c r="C163" i="1"/>
  <c r="D163" i="1"/>
  <c r="C162" i="1"/>
  <c r="D162" i="1"/>
  <c r="C161" i="1"/>
  <c r="D161" i="1"/>
  <c r="C160" i="1"/>
  <c r="D160" i="1"/>
  <c r="C159" i="1"/>
  <c r="D159" i="1"/>
  <c r="C158" i="1"/>
  <c r="D158" i="1"/>
  <c r="C157" i="1"/>
  <c r="D157" i="1"/>
  <c r="C156" i="1"/>
  <c r="D156" i="1"/>
  <c r="C155" i="1"/>
  <c r="D155" i="1"/>
  <c r="C154" i="1"/>
  <c r="D154" i="1"/>
  <c r="C153" i="1"/>
  <c r="D153" i="1"/>
  <c r="C152" i="1"/>
  <c r="D152" i="1"/>
  <c r="C151" i="1"/>
  <c r="D151" i="1"/>
  <c r="C150" i="1"/>
  <c r="D150" i="1"/>
  <c r="C149" i="1"/>
  <c r="D149" i="1"/>
  <c r="C148" i="1"/>
  <c r="D148" i="1"/>
  <c r="C147" i="1"/>
  <c r="D147" i="1"/>
  <c r="C146" i="1"/>
  <c r="D146" i="1"/>
  <c r="C145" i="1"/>
  <c r="D145" i="1"/>
  <c r="C144" i="1"/>
  <c r="D144" i="1"/>
  <c r="C143" i="1"/>
  <c r="D143" i="1"/>
  <c r="C142" i="1"/>
  <c r="D142" i="1"/>
  <c r="C141" i="1"/>
  <c r="D141" i="1"/>
  <c r="C140" i="1"/>
  <c r="D140" i="1"/>
  <c r="C139" i="1"/>
  <c r="D139" i="1"/>
  <c r="C138" i="1"/>
  <c r="D138" i="1"/>
  <c r="C137" i="1"/>
  <c r="D137" i="1"/>
  <c r="C136" i="1"/>
  <c r="D136" i="1"/>
  <c r="C135" i="1"/>
  <c r="D135" i="1"/>
  <c r="C134" i="1"/>
  <c r="D134" i="1"/>
  <c r="C133" i="1"/>
  <c r="D133" i="1"/>
  <c r="C132" i="1"/>
  <c r="D132" i="1"/>
  <c r="C131" i="1"/>
  <c r="D131" i="1"/>
  <c r="C130" i="1"/>
  <c r="D130" i="1"/>
  <c r="C129" i="1"/>
  <c r="D129" i="1"/>
  <c r="C128" i="1"/>
  <c r="D128" i="1"/>
  <c r="C127" i="1"/>
  <c r="D127" i="1"/>
  <c r="C126" i="1"/>
  <c r="D12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C96" i="1"/>
  <c r="D96" i="1"/>
  <c r="C95" i="1"/>
  <c r="D95" i="1"/>
  <c r="D94" i="1"/>
  <c r="C93" i="1"/>
  <c r="D93" i="1"/>
  <c r="C92" i="1"/>
  <c r="D92" i="1"/>
  <c r="C91" i="1"/>
  <c r="D91" i="1"/>
  <c r="C90" i="1"/>
  <c r="D90" i="1"/>
  <c r="C89" i="1"/>
  <c r="D89" i="1"/>
  <c r="C88" i="1"/>
  <c r="D88" i="1"/>
  <c r="C87" i="1"/>
  <c r="D87" i="1"/>
  <c r="C86" i="1"/>
  <c r="D86" i="1"/>
  <c r="C85" i="1"/>
  <c r="D85" i="1"/>
  <c r="C84" i="1"/>
  <c r="D84" i="1"/>
  <c r="C83" i="1"/>
  <c r="D83" i="1"/>
  <c r="C82" i="1"/>
  <c r="D82" i="1"/>
  <c r="C81" i="1"/>
  <c r="D81" i="1"/>
  <c r="C2" i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</calcChain>
</file>

<file path=xl/sharedStrings.xml><?xml version="1.0" encoding="utf-8"?>
<sst xmlns="http://schemas.openxmlformats.org/spreadsheetml/2006/main" count="334" uniqueCount="173">
  <si>
    <t>ID</t>
  </si>
  <si>
    <t>LookupGroupName</t>
  </si>
  <si>
    <t>TableName</t>
  </si>
  <si>
    <t>FieldName</t>
  </si>
  <si>
    <t>FieldValue</t>
  </si>
  <si>
    <t>TankDesign.Elevation</t>
  </si>
  <si>
    <t>Floor</t>
  </si>
  <si>
    <t>Supports</t>
  </si>
  <si>
    <t>Cradle</t>
  </si>
  <si>
    <t>Container</t>
  </si>
  <si>
    <t>Semi-buried</t>
  </si>
  <si>
    <t>Underground</t>
  </si>
  <si>
    <t>BTF</t>
  </si>
  <si>
    <t>Confirm</t>
  </si>
  <si>
    <t>TankDesign.FloatingRoof</t>
  </si>
  <si>
    <t>Internal</t>
  </si>
  <si>
    <t>External</t>
  </si>
  <si>
    <t>Blanket</t>
  </si>
  <si>
    <t>None</t>
  </si>
  <si>
    <t>TankDesign.HorizontalEnds</t>
  </si>
  <si>
    <t>Dished</t>
  </si>
  <si>
    <t>Flat</t>
  </si>
  <si>
    <t>Not Applicable</t>
  </si>
  <si>
    <t>zzBLANK</t>
  </si>
  <si>
    <t>LPG</t>
  </si>
  <si>
    <t>TankDesign.Orientation</t>
  </si>
  <si>
    <t>Vertical</t>
  </si>
  <si>
    <t>Horizonal</t>
  </si>
  <si>
    <t>Sphere</t>
  </si>
  <si>
    <t>Common.YesNoConfirm</t>
  </si>
  <si>
    <t>Yes</t>
  </si>
  <si>
    <t>No</t>
  </si>
  <si>
    <t>Common.YesNoConfirmNA</t>
  </si>
  <si>
    <t>TankDesign.RoofType</t>
  </si>
  <si>
    <t>Cone</t>
  </si>
  <si>
    <t>Geodesic</t>
  </si>
  <si>
    <t>Open Roof</t>
  </si>
  <si>
    <t>Hemispheroid</t>
  </si>
  <si>
    <t>Gasometer</t>
  </si>
  <si>
    <t>Fixed</t>
  </si>
  <si>
    <t>Dome</t>
  </si>
  <si>
    <t>Drum</t>
  </si>
  <si>
    <t>TankDrawings.DrawingType</t>
  </si>
  <si>
    <t>General Arrangement</t>
  </si>
  <si>
    <t>Shell Details</t>
  </si>
  <si>
    <t>Roof Details</t>
  </si>
  <si>
    <t>Floor Details</t>
  </si>
  <si>
    <t>Floating Roof Details</t>
  </si>
  <si>
    <t>Nameplate (Tank)</t>
  </si>
  <si>
    <t>Piping Isometric</t>
  </si>
  <si>
    <t>Inlet Piping Isometric</t>
  </si>
  <si>
    <t>Outlet Piping Isometric</t>
  </si>
  <si>
    <t>Nameplate (Floating Roof)</t>
  </si>
  <si>
    <t>FR Deck Plates</t>
  </si>
  <si>
    <t>Floating Roof GA</t>
  </si>
  <si>
    <t>Tank Ends</t>
  </si>
  <si>
    <t>Nozzle Arrangement</t>
  </si>
  <si>
    <t>FloatingRoof.RoofSeal</t>
  </si>
  <si>
    <t>Unknown</t>
  </si>
  <si>
    <t>Mini Shoe Seal</t>
  </si>
  <si>
    <t>Scissor Shoe Seal</t>
  </si>
  <si>
    <t>Flex-a-Seal</t>
  </si>
  <si>
    <t>FloatingRoof.RoofType</t>
  </si>
  <si>
    <t>Unideck Skin &amp; Pontoon IFR</t>
  </si>
  <si>
    <t>Aluminium IFR</t>
  </si>
  <si>
    <t>Steel EFR</t>
  </si>
  <si>
    <t>TankKPI.Category</t>
  </si>
  <si>
    <t>Planned for Year</t>
  </si>
  <si>
    <t>Carryover</t>
  </si>
  <si>
    <t>Deferred</t>
  </si>
  <si>
    <t>Ad-hoc</t>
  </si>
  <si>
    <t>Brought Forward</t>
  </si>
  <si>
    <t>Future</t>
  </si>
  <si>
    <t>Completed</t>
  </si>
  <si>
    <t>TankKPI.Plan</t>
  </si>
  <si>
    <t>Department A</t>
  </si>
  <si>
    <t>Department B</t>
  </si>
  <si>
    <t>TankKPI.Status</t>
  </si>
  <si>
    <t>In Progress</t>
  </si>
  <si>
    <t>Planned</t>
  </si>
  <si>
    <t>Cancelled</t>
  </si>
  <si>
    <t>Removed</t>
  </si>
  <si>
    <t>Stuck</t>
  </si>
  <si>
    <t>To Be Planned</t>
  </si>
  <si>
    <t>TankMaintHistory.MaintenanceType</t>
  </si>
  <si>
    <t>Formal Internal Inspection</t>
  </si>
  <si>
    <t>Formal External Inspection</t>
  </si>
  <si>
    <t>Tank Cleaned</t>
  </si>
  <si>
    <t>Tank Painted</t>
  </si>
  <si>
    <t>Tank Painted (Externally)</t>
  </si>
  <si>
    <t>Tank Painted (Internal floor and first strake)</t>
  </si>
  <si>
    <t>Tank Painted (Internal full)</t>
  </si>
  <si>
    <t>Repaired</t>
  </si>
  <si>
    <t>Floating Roof Installed</t>
  </si>
  <si>
    <t>Modifications</t>
  </si>
  <si>
    <t>Fitness-for-Service</t>
  </si>
  <si>
    <t>Roof Inspection</t>
  </si>
  <si>
    <t>Certificate of Repair</t>
  </si>
  <si>
    <t>TankMaintPlan.PlanGroup</t>
  </si>
  <si>
    <t>Group 01</t>
  </si>
  <si>
    <t>Group 02</t>
  </si>
  <si>
    <t>Group 03</t>
  </si>
  <si>
    <t>Group 04</t>
  </si>
  <si>
    <t>Group 05</t>
  </si>
  <si>
    <t>Group 06</t>
  </si>
  <si>
    <t>Group 07</t>
  </si>
  <si>
    <t>Group 08</t>
  </si>
  <si>
    <t>Group 09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</si>
  <si>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</si>
  <si>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</si>
  <si>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</si>
  <si>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</si>
  <si>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</si>
  <si>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</si>
  <si>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</si>
  <si>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</si>
  <si>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</si>
  <si>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</si>
  <si>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</si>
  <si>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</si>
  <si>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</si>
  <si>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</si>
  <si>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</si>
  <si>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</si>
  <si>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</si>
  <si>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</si>
  <si>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</si>
  <si>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</si>
  <si>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</si>
  <si>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</si>
  <si>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</si>
  <si>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TankMaintPlan.Status</t>
  </si>
  <si>
    <t>Not Yet Out-of-Service</t>
  </si>
  <si>
    <t>Out-of-Service</t>
  </si>
  <si>
    <t>Cleaned</t>
  </si>
  <si>
    <t>Sandblasted</t>
  </si>
  <si>
    <t>Inspectred</t>
  </si>
  <si>
    <t>Painted</t>
  </si>
  <si>
    <t>Boxed Up</t>
  </si>
  <si>
    <t>Recommissioned</t>
  </si>
  <si>
    <t>Returned to Service</t>
  </si>
  <si>
    <t>Business Decision</t>
  </si>
  <si>
    <t>Unassigned</t>
  </si>
  <si>
    <t>RiskRank.Description</t>
  </si>
  <si>
    <t>Very High</t>
  </si>
  <si>
    <t>High</t>
  </si>
  <si>
    <t>Medium</t>
  </si>
  <si>
    <t>Low</t>
  </si>
  <si>
    <t>Very Low</t>
  </si>
  <si>
    <t>No Ranking</t>
  </si>
  <si>
    <t>Service.Product</t>
  </si>
  <si>
    <t>Product 01</t>
  </si>
  <si>
    <t>Product 02</t>
  </si>
  <si>
    <t>Product 03</t>
  </si>
  <si>
    <t>Service.ProductGroup</t>
  </si>
  <si>
    <t>Product Group 01</t>
  </si>
  <si>
    <t>Product Group 02</t>
  </si>
  <si>
    <t>Product Group 03</t>
  </si>
  <si>
    <t>Service.Status</t>
  </si>
  <si>
    <t>In Service</t>
  </si>
  <si>
    <t>Out of Service</t>
  </si>
  <si>
    <t>Out of Service for Inspection</t>
  </si>
  <si>
    <t>Decommissioned</t>
  </si>
  <si>
    <t>Scrapped</t>
  </si>
  <si>
    <t>TankVents.VentTypes</t>
  </si>
  <si>
    <t>Breather</t>
  </si>
  <si>
    <t>Bursting Disc</t>
  </si>
  <si>
    <t>Free Vent</t>
  </si>
  <si>
    <t>Perimeter Scoops</t>
  </si>
  <si>
    <t>PV Vent</t>
  </si>
  <si>
    <t>Rupture Disc</t>
  </si>
  <si>
    <t>Weighted Manhole</t>
  </si>
  <si>
    <t>chk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</si>
</sst>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right" vertical="center" wrapText="1"/>
    </xf>
    <xf numFmtId="0" fontId="0" fillId="0" borderId="0" xfId="0" applyFont="1" applyFill="1" applyBorder="1" applyAlignment="1" applyProtection="1">
      <alignment vertical="center" wrapText="1"/>
    </xf>
    <xf numFmtId="0" fontId="0" fillId="0" borderId="0" xfId="0" applyNumberFormat="1"/>
    <xf numFmtId="0" fontId="1" fillId="2" borderId="0" xfId="1"/>
    <xf numFmtId="0" fontId="0" fillId="0" borderId="0" xfId="0" applyAlignment="1">
      <alignment horizontal="center"/>
    </xf>
  </cellXfs>
  <cellStyles count="2">
    <cellStyle name="Bad" xfId="1" builtinId="27"/>
    <cellStyle name="Normal" xfId="0" builtinId="0"/>
  </cellStyles>
  <dxfs count="4"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taSche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Schema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82A80-A28A-456F-A682-F5CB0BAB567E}" name="Table1" displayName="Table1" ref="A1:F165" totalsRowShown="0">
  <autoFilter ref="A1:F165" xr:uid="{19482A80-A28A-456F-A682-F5CB0BAB567E}"/>
  <tableColumns count="6">
    <tableColumn id="1" xr3:uid="{B90B2D21-5A2C-48BA-B58B-2ECD80C5AC7D}" name="ID"/>
    <tableColumn id="2" xr3:uid="{8A670891-3472-4C2C-9DFD-EEF7CF82F097}" name="LookupGroupName"/>
    <tableColumn id="3" xr3:uid="{A427D15D-6671-4157-87F7-0E77B1248AAD}" name="TableName" dataDxfId="3">
      <calculatedColumnFormula>"lkp"&amp;SUBSTITUTE(Table1[[#This Row],[LookupGroupName]],".","")</calculatedColumnFormula>
    </tableColumn>
    <tableColumn id="4" xr3:uid="{975F0DD1-C4B2-40A1-BD97-EE6F1F1C19F3}" name="FieldName" dataDxfId="2">
      <calculatedColumnFormula>MID(Table1[[#This Row],[LookupGroupName]],SEARCH(".",Table1[[#This Row],[LookupGroupName]])+1,99)</calculatedColumnFormula>
    </tableColumn>
    <tableColumn id="5" xr3:uid="{E2940311-5995-4019-9394-A56312D26D86}" name="FieldValue"/>
    <tableColumn id="6" xr3:uid="{740585E9-2A0C-4BA9-92A0-A5F709402500}" name="chk" dataDxfId="0">
      <calculatedColumnFormula>COUNTIF([1]!Table1[LookupTable],Table1[[#This Row],[TableName]])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workbookViewId="0">
      <selection activeCell="E5" sqref="E5"/>
    </sheetView>
  </sheetViews>
  <sheetFormatPr defaultRowHeight="15" x14ac:dyDescent="0.25"/>
  <cols>
    <col min="1" max="1" width="13.85546875" customWidth="1"/>
    <col min="2" max="2" width="33.85546875" bestFit="1" customWidth="1"/>
    <col min="3" max="3" width="36" bestFit="1" customWidth="1"/>
    <col min="4" max="4" width="17" bestFit="1" customWidth="1"/>
    <col min="5" max="5" width="25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172</v>
      </c>
    </row>
    <row r="2" spans="1:6" x14ac:dyDescent="0.25">
      <c r="A2" s="2"/>
      <c r="B2" s="3" t="s">
        <v>5</v>
      </c>
      <c r="C2" s="3" t="str">
        <f>"lkp"&amp;SUBSTITUTE(Table1[[#This Row],[LookupGroupName]],".","")</f>
        <v>lkpTankDesignElevation</v>
      </c>
      <c r="D2" s="3" t="str">
        <f>MID(Table1[[#This Row],[LookupGroupName]],SEARCH(".",Table1[[#This Row],[LookupGroupName]])+1,99)</f>
        <v>Elevation</v>
      </c>
      <c r="E2" s="3" t="s">
        <v>6</v>
      </c>
      <c r="F2" s="6">
        <f>COUNTIF([1]!Table1[LookupTable],Table1[[#This Row],[TableName]])</f>
        <v>1</v>
      </c>
    </row>
    <row r="3" spans="1:6" x14ac:dyDescent="0.25">
      <c r="A3" s="2"/>
      <c r="B3" s="3" t="s">
        <v>5</v>
      </c>
      <c r="C3" s="3" t="str">
        <f>"lkp"&amp;SUBSTITUTE(Table1[[#This Row],[LookupGroupName]],".","")</f>
        <v>lkpTankDesignElevation</v>
      </c>
      <c r="D3" s="3" t="str">
        <f>MID(Table1[[#This Row],[LookupGroupName]],SEARCH(".",Table1[[#This Row],[LookupGroupName]])+1,99)</f>
        <v>Elevation</v>
      </c>
      <c r="E3" s="3" t="s">
        <v>7</v>
      </c>
      <c r="F3" s="6">
        <f>COUNTIF([1]!Table1[LookupTable],Table1[[#This Row],[TableName]])</f>
        <v>1</v>
      </c>
    </row>
    <row r="4" spans="1:6" x14ac:dyDescent="0.25">
      <c r="A4" s="2"/>
      <c r="B4" s="3" t="s">
        <v>5</v>
      </c>
      <c r="C4" s="3" t="str">
        <f>"lkp"&amp;SUBSTITUTE(Table1[[#This Row],[LookupGroupName]],".","")</f>
        <v>lkpTankDesignElevation</v>
      </c>
      <c r="D4" s="3" t="str">
        <f>MID(Table1[[#This Row],[LookupGroupName]],SEARCH(".",Table1[[#This Row],[LookupGroupName]])+1,99)</f>
        <v>Elevation</v>
      </c>
      <c r="E4" s="3" t="s">
        <v>8</v>
      </c>
      <c r="F4" s="6">
        <f>COUNTIF([1]!Table1[LookupTable],Table1[[#This Row],[TableName]])</f>
        <v>1</v>
      </c>
    </row>
    <row r="5" spans="1:6" x14ac:dyDescent="0.25">
      <c r="A5" s="2"/>
      <c r="B5" s="3" t="s">
        <v>5</v>
      </c>
      <c r="C5" s="3" t="str">
        <f>"lkp"&amp;SUBSTITUTE(Table1[[#This Row],[LookupGroupName]],".","")</f>
        <v>lkpTankDesignElevation</v>
      </c>
      <c r="D5" s="3" t="str">
        <f>MID(Table1[[#This Row],[LookupGroupName]],SEARCH(".",Table1[[#This Row],[LookupGroupName]])+1,99)</f>
        <v>Elevation</v>
      </c>
      <c r="E5" s="3" t="s">
        <v>9</v>
      </c>
      <c r="F5" s="6">
        <f>COUNTIF([1]!Table1[LookupTable],Table1[[#This Row],[TableName]])</f>
        <v>1</v>
      </c>
    </row>
    <row r="6" spans="1:6" x14ac:dyDescent="0.25">
      <c r="A6" s="2"/>
      <c r="B6" s="3" t="s">
        <v>5</v>
      </c>
      <c r="C6" s="3" t="str">
        <f>"lkp"&amp;SUBSTITUTE(Table1[[#This Row],[LookupGroupName]],".","")</f>
        <v>lkpTankDesignElevation</v>
      </c>
      <c r="D6" s="3" t="str">
        <f>MID(Table1[[#This Row],[LookupGroupName]],SEARCH(".",Table1[[#This Row],[LookupGroupName]])+1,99)</f>
        <v>Elevation</v>
      </c>
      <c r="E6" s="3" t="s">
        <v>10</v>
      </c>
      <c r="F6" s="6">
        <f>COUNTIF([1]!Table1[LookupTable],Table1[[#This Row],[TableName]])</f>
        <v>1</v>
      </c>
    </row>
    <row r="7" spans="1:6" x14ac:dyDescent="0.25">
      <c r="A7" s="2"/>
      <c r="B7" s="3" t="s">
        <v>5</v>
      </c>
      <c r="C7" s="3" t="str">
        <f>"lkp"&amp;SUBSTITUTE(Table1[[#This Row],[LookupGroupName]],".","")</f>
        <v>lkpTankDesignElevation</v>
      </c>
      <c r="D7" s="3" t="str">
        <f>MID(Table1[[#This Row],[LookupGroupName]],SEARCH(".",Table1[[#This Row],[LookupGroupName]])+1,99)</f>
        <v>Elevation</v>
      </c>
      <c r="E7" s="3" t="s">
        <v>11</v>
      </c>
      <c r="F7" s="6">
        <f>COUNTIF([1]!Table1[LookupTable],Table1[[#This Row],[TableName]])</f>
        <v>1</v>
      </c>
    </row>
    <row r="8" spans="1:6" x14ac:dyDescent="0.25">
      <c r="A8" s="2"/>
      <c r="B8" s="3" t="s">
        <v>5</v>
      </c>
      <c r="C8" s="3" t="str">
        <f>"lkp"&amp;SUBSTITUTE(Table1[[#This Row],[LookupGroupName]],".","")</f>
        <v>lkpTankDesignElevation</v>
      </c>
      <c r="D8" s="3" t="str">
        <f>MID(Table1[[#This Row],[LookupGroupName]],SEARCH(".",Table1[[#This Row],[LookupGroupName]])+1,99)</f>
        <v>Elevation</v>
      </c>
      <c r="E8" s="3" t="s">
        <v>12</v>
      </c>
      <c r="F8" s="6">
        <f>COUNTIF([1]!Table1[LookupTable],Table1[[#This Row],[TableName]])</f>
        <v>1</v>
      </c>
    </row>
    <row r="9" spans="1:6" x14ac:dyDescent="0.25">
      <c r="A9" s="2"/>
      <c r="B9" s="3" t="s">
        <v>5</v>
      </c>
      <c r="C9" s="3" t="str">
        <f>"lkp"&amp;SUBSTITUTE(Table1[[#This Row],[LookupGroupName]],".","")</f>
        <v>lkpTankDesignElevation</v>
      </c>
      <c r="D9" s="3" t="str">
        <f>MID(Table1[[#This Row],[LookupGroupName]],SEARCH(".",Table1[[#This Row],[LookupGroupName]])+1,99)</f>
        <v>Elevation</v>
      </c>
      <c r="E9" s="3" t="s">
        <v>13</v>
      </c>
      <c r="F9" s="6">
        <f>COUNTIF([1]!Table1[LookupTable],Table1[[#This Row],[TableName]])</f>
        <v>1</v>
      </c>
    </row>
    <row r="10" spans="1:6" x14ac:dyDescent="0.25">
      <c r="B10" t="s">
        <v>14</v>
      </c>
      <c r="C10" t="str">
        <f>"lkp"&amp;SUBSTITUTE(Table1[[#This Row],[LookupGroupName]],".","")</f>
        <v>lkpTankDesignFloatingRoof</v>
      </c>
      <c r="D10" t="str">
        <f>MID(Table1[[#This Row],[LookupGroupName]],SEARCH(".",Table1[[#This Row],[LookupGroupName]])+1,99)</f>
        <v>FloatingRoof</v>
      </c>
      <c r="E10" t="s">
        <v>15</v>
      </c>
      <c r="F10" s="6">
        <f>COUNTIF([1]!Table1[LookupTable],Table1[[#This Row],[TableName]])</f>
        <v>1</v>
      </c>
    </row>
    <row r="11" spans="1:6" x14ac:dyDescent="0.25">
      <c r="B11" t="s">
        <v>14</v>
      </c>
      <c r="C11" t="str">
        <f>"lkp"&amp;SUBSTITUTE(Table1[[#This Row],[LookupGroupName]],".","")</f>
        <v>lkpTankDesignFloatingRoof</v>
      </c>
      <c r="D11" t="str">
        <f>MID(Table1[[#This Row],[LookupGroupName]],SEARCH(".",Table1[[#This Row],[LookupGroupName]])+1,99)</f>
        <v>FloatingRoof</v>
      </c>
      <c r="E11" t="s">
        <v>16</v>
      </c>
      <c r="F11" s="6">
        <f>COUNTIF([1]!Table1[LookupTable],Table1[[#This Row],[TableName]])</f>
        <v>1</v>
      </c>
    </row>
    <row r="12" spans="1:6" x14ac:dyDescent="0.25">
      <c r="B12" t="s">
        <v>14</v>
      </c>
      <c r="C12" t="str">
        <f>"lkp"&amp;SUBSTITUTE(Table1[[#This Row],[LookupGroupName]],".","")</f>
        <v>lkpTankDesignFloatingRoof</v>
      </c>
      <c r="D12" t="str">
        <f>MID(Table1[[#This Row],[LookupGroupName]],SEARCH(".",Table1[[#This Row],[LookupGroupName]])+1,99)</f>
        <v>FloatingRoof</v>
      </c>
      <c r="E12" t="s">
        <v>17</v>
      </c>
      <c r="F12" s="6">
        <f>COUNTIF([1]!Table1[LookupTable],Table1[[#This Row],[TableName]])</f>
        <v>1</v>
      </c>
    </row>
    <row r="13" spans="1:6" x14ac:dyDescent="0.25">
      <c r="B13" t="s">
        <v>14</v>
      </c>
      <c r="C13" t="str">
        <f>"lkp"&amp;SUBSTITUTE(Table1[[#This Row],[LookupGroupName]],".","")</f>
        <v>lkpTankDesignFloatingRoof</v>
      </c>
      <c r="D13" t="str">
        <f>MID(Table1[[#This Row],[LookupGroupName]],SEARCH(".",Table1[[#This Row],[LookupGroupName]])+1,99)</f>
        <v>FloatingRoof</v>
      </c>
      <c r="E13" t="s">
        <v>13</v>
      </c>
      <c r="F13" s="6">
        <f>COUNTIF([1]!Table1[LookupTable],Table1[[#This Row],[TableName]])</f>
        <v>1</v>
      </c>
    </row>
    <row r="14" spans="1:6" x14ac:dyDescent="0.25">
      <c r="B14" t="s">
        <v>14</v>
      </c>
      <c r="C14" t="str">
        <f>"lkp"&amp;SUBSTITUTE(Table1[[#This Row],[LookupGroupName]],".","")</f>
        <v>lkpTankDesignFloatingRoof</v>
      </c>
      <c r="D14" t="str">
        <f>MID(Table1[[#This Row],[LookupGroupName]],SEARCH(".",Table1[[#This Row],[LookupGroupName]])+1,99)</f>
        <v>FloatingRoof</v>
      </c>
      <c r="E14" t="s">
        <v>18</v>
      </c>
      <c r="F14" s="6">
        <f>COUNTIF([1]!Table1[LookupTable],Table1[[#This Row],[TableName]])</f>
        <v>1</v>
      </c>
    </row>
    <row r="15" spans="1:6" x14ac:dyDescent="0.25">
      <c r="B15" t="s">
        <v>19</v>
      </c>
      <c r="C15" t="str">
        <f>"lkp"&amp;SUBSTITUTE(Table1[[#This Row],[LookupGroupName]],".","")</f>
        <v>lkpTankDesignHorizontalEnds</v>
      </c>
      <c r="D15" t="str">
        <f>MID(Table1[[#This Row],[LookupGroupName]],SEARCH(".",Table1[[#This Row],[LookupGroupName]])+1,99)</f>
        <v>HorizontalEnds</v>
      </c>
      <c r="E15" t="s">
        <v>20</v>
      </c>
      <c r="F15" s="6">
        <f>COUNTIF([1]!Table1[LookupTable],Table1[[#This Row],[TableName]])</f>
        <v>1</v>
      </c>
    </row>
    <row r="16" spans="1:6" x14ac:dyDescent="0.25">
      <c r="B16" t="s">
        <v>19</v>
      </c>
      <c r="C16" s="4" t="str">
        <f>"lkp"&amp;SUBSTITUTE(Table1[[#This Row],[LookupGroupName]],".","")</f>
        <v>lkpTankDesignHorizontalEnds</v>
      </c>
      <c r="D16" s="4" t="str">
        <f>MID(Table1[[#This Row],[LookupGroupName]],SEARCH(".",Table1[[#This Row],[LookupGroupName]])+1,99)</f>
        <v>HorizontalEnds</v>
      </c>
      <c r="E16" t="s">
        <v>21</v>
      </c>
      <c r="F16" s="6">
        <f>COUNTIF([1]!Table1[LookupTable],Table1[[#This Row],[TableName]])</f>
        <v>1</v>
      </c>
    </row>
    <row r="17" spans="2:6" x14ac:dyDescent="0.25">
      <c r="B17" t="s">
        <v>19</v>
      </c>
      <c r="C17" s="4" t="str">
        <f>"lkp"&amp;SUBSTITUTE(Table1[[#This Row],[LookupGroupName]],".","")</f>
        <v>lkpTankDesignHorizontalEnds</v>
      </c>
      <c r="D17" s="4" t="str">
        <f>MID(Table1[[#This Row],[LookupGroupName]],SEARCH(".",Table1[[#This Row],[LookupGroupName]])+1,99)</f>
        <v>HorizontalEnds</v>
      </c>
      <c r="E17" t="s">
        <v>13</v>
      </c>
      <c r="F17" s="6">
        <f>COUNTIF([1]!Table1[LookupTable],Table1[[#This Row],[TableName]])</f>
        <v>1</v>
      </c>
    </row>
    <row r="18" spans="2:6" x14ac:dyDescent="0.25">
      <c r="B18" t="s">
        <v>19</v>
      </c>
      <c r="C18" s="4" t="str">
        <f>"lkp"&amp;SUBSTITUTE(Table1[[#This Row],[LookupGroupName]],".","")</f>
        <v>lkpTankDesignHorizontalEnds</v>
      </c>
      <c r="D18" s="4" t="str">
        <f>MID(Table1[[#This Row],[LookupGroupName]],SEARCH(".",Table1[[#This Row],[LookupGroupName]])+1,99)</f>
        <v>HorizontalEnds</v>
      </c>
      <c r="E18" t="s">
        <v>22</v>
      </c>
      <c r="F18" s="6">
        <f>COUNTIF([1]!Table1[LookupTable],Table1[[#This Row],[TableName]])</f>
        <v>1</v>
      </c>
    </row>
    <row r="19" spans="2:6" x14ac:dyDescent="0.25">
      <c r="B19" t="s">
        <v>19</v>
      </c>
      <c r="C19" s="4" t="str">
        <f>"lkp"&amp;SUBSTITUTE(Table1[[#This Row],[LookupGroupName]],".","")</f>
        <v>lkpTankDesignHorizontalEnds</v>
      </c>
      <c r="D19" s="4" t="str">
        <f>MID(Table1[[#This Row],[LookupGroupName]],SEARCH(".",Table1[[#This Row],[LookupGroupName]])+1,99)</f>
        <v>HorizontalEnds</v>
      </c>
      <c r="E19" t="s">
        <v>23</v>
      </c>
      <c r="F19" s="6">
        <f>COUNTIF([1]!Table1[LookupTable],Table1[[#This Row],[TableName]])</f>
        <v>1</v>
      </c>
    </row>
    <row r="20" spans="2:6" x14ac:dyDescent="0.25">
      <c r="B20" t="s">
        <v>19</v>
      </c>
      <c r="C20" s="4" t="str">
        <f>"lkp"&amp;SUBSTITUTE(Table1[[#This Row],[LookupGroupName]],".","")</f>
        <v>lkpTankDesignHorizontalEnds</v>
      </c>
      <c r="D20" s="4" t="str">
        <f>MID(Table1[[#This Row],[LookupGroupName]],SEARCH(".",Table1[[#This Row],[LookupGroupName]])+1,99)</f>
        <v>HorizontalEnds</v>
      </c>
      <c r="E20" t="s">
        <v>24</v>
      </c>
      <c r="F20" s="6">
        <f>COUNTIF([1]!Table1[LookupTable],Table1[[#This Row],[TableName]])</f>
        <v>1</v>
      </c>
    </row>
    <row r="21" spans="2:6" x14ac:dyDescent="0.25">
      <c r="B21" t="s">
        <v>25</v>
      </c>
      <c r="C21" s="4" t="str">
        <f>"lkp"&amp;SUBSTITUTE(Table1[[#This Row],[LookupGroupName]],".","")</f>
        <v>lkpTankDesignOrientation</v>
      </c>
      <c r="D21" s="4" t="str">
        <f>MID(Table1[[#This Row],[LookupGroupName]],SEARCH(".",Table1[[#This Row],[LookupGroupName]])+1,99)</f>
        <v>Orientation</v>
      </c>
      <c r="E21" t="s">
        <v>26</v>
      </c>
      <c r="F21" s="6">
        <f>COUNTIF([1]!Table1[LookupTable],Table1[[#This Row],[TableName]])</f>
        <v>1</v>
      </c>
    </row>
    <row r="22" spans="2:6" x14ac:dyDescent="0.25">
      <c r="B22" t="s">
        <v>25</v>
      </c>
      <c r="C22" s="4" t="str">
        <f>"lkp"&amp;SUBSTITUTE(Table1[[#This Row],[LookupGroupName]],".","")</f>
        <v>lkpTankDesignOrientation</v>
      </c>
      <c r="D22" s="4" t="str">
        <f>MID(Table1[[#This Row],[LookupGroupName]],SEARCH(".",Table1[[#This Row],[LookupGroupName]])+1,99)</f>
        <v>Orientation</v>
      </c>
      <c r="E22" t="s">
        <v>27</v>
      </c>
      <c r="F22" s="6">
        <f>COUNTIF([1]!Table1[LookupTable],Table1[[#This Row],[TableName]])</f>
        <v>1</v>
      </c>
    </row>
    <row r="23" spans="2:6" x14ac:dyDescent="0.25">
      <c r="B23" t="s">
        <v>25</v>
      </c>
      <c r="C23" s="4" t="str">
        <f>"lkp"&amp;SUBSTITUTE(Table1[[#This Row],[LookupGroupName]],".","")</f>
        <v>lkpTankDesignOrientation</v>
      </c>
      <c r="D23" s="4" t="str">
        <f>MID(Table1[[#This Row],[LookupGroupName]],SEARCH(".",Table1[[#This Row],[LookupGroupName]])+1,99)</f>
        <v>Orientation</v>
      </c>
      <c r="E23" t="s">
        <v>28</v>
      </c>
      <c r="F23" s="6">
        <f>COUNTIF([1]!Table1[LookupTable],Table1[[#This Row],[TableName]])</f>
        <v>1</v>
      </c>
    </row>
    <row r="24" spans="2:6" x14ac:dyDescent="0.25">
      <c r="B24" t="s">
        <v>25</v>
      </c>
      <c r="C24" s="4" t="str">
        <f>"lkp"&amp;SUBSTITUTE(Table1[[#This Row],[LookupGroupName]],".","")</f>
        <v>lkpTankDesignOrientation</v>
      </c>
      <c r="D24" s="4" t="str">
        <f>MID(Table1[[#This Row],[LookupGroupName]],SEARCH(".",Table1[[#This Row],[LookupGroupName]])+1,99)</f>
        <v>Orientation</v>
      </c>
      <c r="E24" t="s">
        <v>13</v>
      </c>
      <c r="F24" s="6">
        <f>COUNTIF([1]!Table1[LookupTable],Table1[[#This Row],[TableName]])</f>
        <v>1</v>
      </c>
    </row>
    <row r="25" spans="2:6" x14ac:dyDescent="0.25">
      <c r="B25" t="s">
        <v>29</v>
      </c>
      <c r="C25" s="4" t="str">
        <f>"lkp"&amp;SUBSTITUTE(Table1[[#This Row],[LookupGroupName]],".","")</f>
        <v>lkpCommonYesNoConfirm</v>
      </c>
      <c r="D25" s="4" t="str">
        <f>MID(Table1[[#This Row],[LookupGroupName]],SEARCH(".",Table1[[#This Row],[LookupGroupName]])+1,99)</f>
        <v>YesNoConfirm</v>
      </c>
      <c r="E25" t="s">
        <v>30</v>
      </c>
      <c r="F25" s="6">
        <f>COUNTIF([1]!Table1[LookupTable],Table1[[#This Row],[TableName]])</f>
        <v>1</v>
      </c>
    </row>
    <row r="26" spans="2:6" x14ac:dyDescent="0.25">
      <c r="B26" t="s">
        <v>29</v>
      </c>
      <c r="C26" s="4" t="str">
        <f>"lkp"&amp;SUBSTITUTE(Table1[[#This Row],[LookupGroupName]],".","")</f>
        <v>lkpCommonYesNoConfirm</v>
      </c>
      <c r="D26" s="4" t="str">
        <f>MID(Table1[[#This Row],[LookupGroupName]],SEARCH(".",Table1[[#This Row],[LookupGroupName]])+1,99)</f>
        <v>YesNoConfirm</v>
      </c>
      <c r="E26" t="s">
        <v>31</v>
      </c>
      <c r="F26" s="6">
        <f>COUNTIF([1]!Table1[LookupTable],Table1[[#This Row],[TableName]])</f>
        <v>1</v>
      </c>
    </row>
    <row r="27" spans="2:6" x14ac:dyDescent="0.25">
      <c r="B27" t="s">
        <v>29</v>
      </c>
      <c r="C27" s="4" t="str">
        <f>"lkp"&amp;SUBSTITUTE(Table1[[#This Row],[LookupGroupName]],".","")</f>
        <v>lkpCommonYesNoConfirm</v>
      </c>
      <c r="D27" s="4" t="str">
        <f>MID(Table1[[#This Row],[LookupGroupName]],SEARCH(".",Table1[[#This Row],[LookupGroupName]])+1,99)</f>
        <v>YesNoConfirm</v>
      </c>
      <c r="E27" t="s">
        <v>13</v>
      </c>
      <c r="F27" s="6">
        <f>COUNTIF([1]!Table1[LookupTable],Table1[[#This Row],[TableName]])</f>
        <v>1</v>
      </c>
    </row>
    <row r="28" spans="2:6" x14ac:dyDescent="0.25">
      <c r="B28" t="s">
        <v>32</v>
      </c>
      <c r="C28" s="4" t="str">
        <f>"lkp"&amp;SUBSTITUTE(Table1[[#This Row],[LookupGroupName]],".","")</f>
        <v>lkpCommonYesNoConfirmNA</v>
      </c>
      <c r="D28" s="4" t="str">
        <f>MID(Table1[[#This Row],[LookupGroupName]],SEARCH(".",Table1[[#This Row],[LookupGroupName]])+1,99)</f>
        <v>YesNoConfirmNA</v>
      </c>
      <c r="E28" t="s">
        <v>30</v>
      </c>
      <c r="F28" s="6">
        <f>COUNTIF([1]!Table1[LookupTable],Table1[[#This Row],[TableName]])</f>
        <v>0</v>
      </c>
    </row>
    <row r="29" spans="2:6" x14ac:dyDescent="0.25">
      <c r="B29" t="s">
        <v>32</v>
      </c>
      <c r="C29" s="4" t="str">
        <f>"lkp"&amp;SUBSTITUTE(Table1[[#This Row],[LookupGroupName]],".","")</f>
        <v>lkpCommonYesNoConfirmNA</v>
      </c>
      <c r="D29" s="4" t="str">
        <f>MID(Table1[[#This Row],[LookupGroupName]],SEARCH(".",Table1[[#This Row],[LookupGroupName]])+1,99)</f>
        <v>YesNoConfirmNA</v>
      </c>
      <c r="E29" t="s">
        <v>31</v>
      </c>
      <c r="F29" s="6">
        <f>COUNTIF([1]!Table1[LookupTable],Table1[[#This Row],[TableName]])</f>
        <v>0</v>
      </c>
    </row>
    <row r="30" spans="2:6" x14ac:dyDescent="0.25">
      <c r="B30" t="s">
        <v>32</v>
      </c>
      <c r="C30" s="4" t="str">
        <f>"lkp"&amp;SUBSTITUTE(Table1[[#This Row],[LookupGroupName]],".","")</f>
        <v>lkpCommonYesNoConfirmNA</v>
      </c>
      <c r="D30" s="4" t="str">
        <f>MID(Table1[[#This Row],[LookupGroupName]],SEARCH(".",Table1[[#This Row],[LookupGroupName]])+1,99)</f>
        <v>YesNoConfirmNA</v>
      </c>
      <c r="E30" t="s">
        <v>13</v>
      </c>
      <c r="F30" s="6">
        <f>COUNTIF([1]!Table1[LookupTable],Table1[[#This Row],[TableName]])</f>
        <v>0</v>
      </c>
    </row>
    <row r="31" spans="2:6" x14ac:dyDescent="0.25">
      <c r="B31" t="s">
        <v>32</v>
      </c>
      <c r="C31" s="4" t="str">
        <f>"lkp"&amp;SUBSTITUTE(Table1[[#This Row],[LookupGroupName]],".","")</f>
        <v>lkpCommonYesNoConfirmNA</v>
      </c>
      <c r="D31" s="4" t="str">
        <f>MID(Table1[[#This Row],[LookupGroupName]],SEARCH(".",Table1[[#This Row],[LookupGroupName]])+1,99)</f>
        <v>YesNoConfirmNA</v>
      </c>
      <c r="E31" t="s">
        <v>22</v>
      </c>
      <c r="F31" s="6">
        <f>COUNTIF([1]!Table1[LookupTable],Table1[[#This Row],[TableName]])</f>
        <v>0</v>
      </c>
    </row>
    <row r="32" spans="2:6" x14ac:dyDescent="0.25">
      <c r="B32" t="s">
        <v>33</v>
      </c>
      <c r="C32" s="4" t="str">
        <f>"lkp"&amp;SUBSTITUTE(Table1[[#This Row],[LookupGroupName]],".","")</f>
        <v>lkpTankDesignRoofType</v>
      </c>
      <c r="D32" s="4" t="str">
        <f>MID(Table1[[#This Row],[LookupGroupName]],SEARCH(".",Table1[[#This Row],[LookupGroupName]])+1,99)</f>
        <v>RoofType</v>
      </c>
      <c r="E32" t="s">
        <v>34</v>
      </c>
      <c r="F32" s="6">
        <f>COUNTIF([1]!Table1[LookupTable],Table1[[#This Row],[TableName]])</f>
        <v>1</v>
      </c>
    </row>
    <row r="33" spans="2:6" x14ac:dyDescent="0.25">
      <c r="B33" t="s">
        <v>33</v>
      </c>
      <c r="C33" s="4" t="str">
        <f>"lkp"&amp;SUBSTITUTE(Table1[[#This Row],[LookupGroupName]],".","")</f>
        <v>lkpTankDesignRoofType</v>
      </c>
      <c r="D33" s="4" t="str">
        <f>MID(Table1[[#This Row],[LookupGroupName]],SEARCH(".",Table1[[#This Row],[LookupGroupName]])+1,99)</f>
        <v>RoofType</v>
      </c>
      <c r="E33" t="s">
        <v>35</v>
      </c>
      <c r="F33" s="6">
        <f>COUNTIF([1]!Table1[LookupTable],Table1[[#This Row],[TableName]])</f>
        <v>1</v>
      </c>
    </row>
    <row r="34" spans="2:6" x14ac:dyDescent="0.25">
      <c r="B34" t="s">
        <v>33</v>
      </c>
      <c r="C34" s="4" t="str">
        <f>"lkp"&amp;SUBSTITUTE(Table1[[#This Row],[LookupGroupName]],".","")</f>
        <v>lkpTankDesignRoofType</v>
      </c>
      <c r="D34" s="4" t="str">
        <f>MID(Table1[[#This Row],[LookupGroupName]],SEARCH(".",Table1[[#This Row],[LookupGroupName]])+1,99)</f>
        <v>RoofType</v>
      </c>
      <c r="E34" t="s">
        <v>36</v>
      </c>
      <c r="F34" s="6">
        <f>COUNTIF([1]!Table1[LookupTable],Table1[[#This Row],[TableName]])</f>
        <v>1</v>
      </c>
    </row>
    <row r="35" spans="2:6" x14ac:dyDescent="0.25">
      <c r="B35" t="s">
        <v>33</v>
      </c>
      <c r="C35" s="4" t="str">
        <f>"lkp"&amp;SUBSTITUTE(Table1[[#This Row],[LookupGroupName]],".","")</f>
        <v>lkpTankDesignRoofType</v>
      </c>
      <c r="D35" s="4" t="str">
        <f>MID(Table1[[#This Row],[LookupGroupName]],SEARCH(".",Table1[[#This Row],[LookupGroupName]])+1,99)</f>
        <v>RoofType</v>
      </c>
      <c r="E35" t="s">
        <v>37</v>
      </c>
      <c r="F35" s="6">
        <f>COUNTIF([1]!Table1[LookupTable],Table1[[#This Row],[TableName]])</f>
        <v>1</v>
      </c>
    </row>
    <row r="36" spans="2:6" x14ac:dyDescent="0.25">
      <c r="B36" t="s">
        <v>33</v>
      </c>
      <c r="C36" s="4" t="str">
        <f>"lkp"&amp;SUBSTITUTE(Table1[[#This Row],[LookupGroupName]],".","")</f>
        <v>lkpTankDesignRoofType</v>
      </c>
      <c r="D36" s="4" t="str">
        <f>MID(Table1[[#This Row],[LookupGroupName]],SEARCH(".",Table1[[#This Row],[LookupGroupName]])+1,99)</f>
        <v>RoofType</v>
      </c>
      <c r="E36" t="s">
        <v>13</v>
      </c>
      <c r="F36" s="6">
        <f>COUNTIF([1]!Table1[LookupTable],Table1[[#This Row],[TableName]])</f>
        <v>1</v>
      </c>
    </row>
    <row r="37" spans="2:6" x14ac:dyDescent="0.25">
      <c r="B37" t="s">
        <v>33</v>
      </c>
      <c r="C37" s="4" t="str">
        <f>"lkp"&amp;SUBSTITUTE(Table1[[#This Row],[LookupGroupName]],".","")</f>
        <v>lkpTankDesignRoofType</v>
      </c>
      <c r="D37" s="4" t="str">
        <f>MID(Table1[[#This Row],[LookupGroupName]],SEARCH(".",Table1[[#This Row],[LookupGroupName]])+1,99)</f>
        <v>RoofType</v>
      </c>
      <c r="E37" t="s">
        <v>22</v>
      </c>
      <c r="F37" s="6">
        <f>COUNTIF([1]!Table1[LookupTable],Table1[[#This Row],[TableName]])</f>
        <v>1</v>
      </c>
    </row>
    <row r="38" spans="2:6" x14ac:dyDescent="0.25">
      <c r="B38" t="s">
        <v>33</v>
      </c>
      <c r="C38" s="4" t="str">
        <f>"lkp"&amp;SUBSTITUTE(Table1[[#This Row],[LookupGroupName]],".","")</f>
        <v>lkpTankDesignRoofType</v>
      </c>
      <c r="D38" s="4" t="str">
        <f>MID(Table1[[#This Row],[LookupGroupName]],SEARCH(".",Table1[[#This Row],[LookupGroupName]])+1,99)</f>
        <v>RoofType</v>
      </c>
      <c r="E38" t="s">
        <v>38</v>
      </c>
      <c r="F38" s="6">
        <f>COUNTIF([1]!Table1[LookupTable],Table1[[#This Row],[TableName]])</f>
        <v>1</v>
      </c>
    </row>
    <row r="39" spans="2:6" x14ac:dyDescent="0.25">
      <c r="B39" t="s">
        <v>33</v>
      </c>
      <c r="C39" s="4" t="str">
        <f>"lkp"&amp;SUBSTITUTE(Table1[[#This Row],[LookupGroupName]],".","")</f>
        <v>lkpTankDesignRoofType</v>
      </c>
      <c r="D39" s="4" t="str">
        <f>MID(Table1[[#This Row],[LookupGroupName]],SEARCH(".",Table1[[#This Row],[LookupGroupName]])+1,99)</f>
        <v>RoofType</v>
      </c>
      <c r="E39" t="s">
        <v>39</v>
      </c>
      <c r="F39" s="6">
        <f>COUNTIF([1]!Table1[LookupTable],Table1[[#This Row],[TableName]])</f>
        <v>1</v>
      </c>
    </row>
    <row r="40" spans="2:6" x14ac:dyDescent="0.25">
      <c r="B40" t="s">
        <v>33</v>
      </c>
      <c r="C40" s="4" t="str">
        <f>"lkp"&amp;SUBSTITUTE(Table1[[#This Row],[LookupGroupName]],".","")</f>
        <v>lkpTankDesignRoofType</v>
      </c>
      <c r="D40" s="4" t="str">
        <f>MID(Table1[[#This Row],[LookupGroupName]],SEARCH(".",Table1[[#This Row],[LookupGroupName]])+1,99)</f>
        <v>RoofType</v>
      </c>
      <c r="E40" t="s">
        <v>40</v>
      </c>
      <c r="F40" s="6">
        <f>COUNTIF([1]!Table1[LookupTable],Table1[[#This Row],[TableName]])</f>
        <v>1</v>
      </c>
    </row>
    <row r="41" spans="2:6" x14ac:dyDescent="0.25">
      <c r="B41" t="s">
        <v>33</v>
      </c>
      <c r="C41" s="4" t="str">
        <f>"lkp"&amp;SUBSTITUTE(Table1[[#This Row],[LookupGroupName]],".","")</f>
        <v>lkpTankDesignRoofType</v>
      </c>
      <c r="D41" s="4" t="str">
        <f>MID(Table1[[#This Row],[LookupGroupName]],SEARCH(".",Table1[[#This Row],[LookupGroupName]])+1,99)</f>
        <v>RoofType</v>
      </c>
      <c r="E41" t="s">
        <v>41</v>
      </c>
      <c r="F41" s="6">
        <f>COUNTIF([1]!Table1[LookupTable],Table1[[#This Row],[TableName]])</f>
        <v>1</v>
      </c>
    </row>
    <row r="42" spans="2:6" x14ac:dyDescent="0.25">
      <c r="B42" t="s">
        <v>42</v>
      </c>
      <c r="C42" s="4" t="str">
        <f>"lkp"&amp;SUBSTITUTE(Table1[[#This Row],[LookupGroupName]],".","")</f>
        <v>lkpTankDrawingsDrawingType</v>
      </c>
      <c r="D42" s="4" t="str">
        <f>MID(Table1[[#This Row],[LookupGroupName]],SEARCH(".",Table1[[#This Row],[LookupGroupName]])+1,99)</f>
        <v>DrawingType</v>
      </c>
      <c r="E42" t="s">
        <v>43</v>
      </c>
      <c r="F42" s="6">
        <f>COUNTIF([1]!Table1[LookupTable],Table1[[#This Row],[TableName]])</f>
        <v>0</v>
      </c>
    </row>
    <row r="43" spans="2:6" x14ac:dyDescent="0.25">
      <c r="B43" t="s">
        <v>42</v>
      </c>
      <c r="C43" s="4" t="str">
        <f>"lkp"&amp;SUBSTITUTE(Table1[[#This Row],[LookupGroupName]],".","")</f>
        <v>lkpTankDrawingsDrawingType</v>
      </c>
      <c r="D43" s="4" t="str">
        <f>MID(Table1[[#This Row],[LookupGroupName]],SEARCH(".",Table1[[#This Row],[LookupGroupName]])+1,99)</f>
        <v>DrawingType</v>
      </c>
      <c r="E43" t="s">
        <v>44</v>
      </c>
      <c r="F43" s="6">
        <f>COUNTIF([1]!Table1[LookupTable],Table1[[#This Row],[TableName]])</f>
        <v>0</v>
      </c>
    </row>
    <row r="44" spans="2:6" x14ac:dyDescent="0.25">
      <c r="B44" t="s">
        <v>42</v>
      </c>
      <c r="C44" s="4" t="str">
        <f>"lkp"&amp;SUBSTITUTE(Table1[[#This Row],[LookupGroupName]],".","")</f>
        <v>lkpTankDrawingsDrawingType</v>
      </c>
      <c r="D44" s="4" t="str">
        <f>MID(Table1[[#This Row],[LookupGroupName]],SEARCH(".",Table1[[#This Row],[LookupGroupName]])+1,99)</f>
        <v>DrawingType</v>
      </c>
      <c r="E44" t="s">
        <v>45</v>
      </c>
      <c r="F44" s="6">
        <f>COUNTIF([1]!Table1[LookupTable],Table1[[#This Row],[TableName]])</f>
        <v>0</v>
      </c>
    </row>
    <row r="45" spans="2:6" x14ac:dyDescent="0.25">
      <c r="B45" t="s">
        <v>42</v>
      </c>
      <c r="C45" s="4" t="str">
        <f>"lkp"&amp;SUBSTITUTE(Table1[[#This Row],[LookupGroupName]],".","")</f>
        <v>lkpTankDrawingsDrawingType</v>
      </c>
      <c r="D45" s="4" t="str">
        <f>MID(Table1[[#This Row],[LookupGroupName]],SEARCH(".",Table1[[#This Row],[LookupGroupName]])+1,99)</f>
        <v>DrawingType</v>
      </c>
      <c r="E45" t="s">
        <v>46</v>
      </c>
      <c r="F45" s="6">
        <f>COUNTIF([1]!Table1[LookupTable],Table1[[#This Row],[TableName]])</f>
        <v>0</v>
      </c>
    </row>
    <row r="46" spans="2:6" x14ac:dyDescent="0.25">
      <c r="B46" t="s">
        <v>42</v>
      </c>
      <c r="C46" s="4" t="str">
        <f>"lkp"&amp;SUBSTITUTE(Table1[[#This Row],[LookupGroupName]],".","")</f>
        <v>lkpTankDrawingsDrawingType</v>
      </c>
      <c r="D46" s="4" t="str">
        <f>MID(Table1[[#This Row],[LookupGroupName]],SEARCH(".",Table1[[#This Row],[LookupGroupName]])+1,99)</f>
        <v>DrawingType</v>
      </c>
      <c r="E46" t="s">
        <v>54</v>
      </c>
      <c r="F46" s="6">
        <f>COUNTIF([1]!Table1[LookupTable],Table1[[#This Row],[TableName]])</f>
        <v>0</v>
      </c>
    </row>
    <row r="47" spans="2:6" x14ac:dyDescent="0.25">
      <c r="B47" t="s">
        <v>42</v>
      </c>
      <c r="C47" s="4" t="str">
        <f>"lkp"&amp;SUBSTITUTE(Table1[[#This Row],[LookupGroupName]],".","")</f>
        <v>lkpTankDrawingsDrawingType</v>
      </c>
      <c r="D47" s="4" t="str">
        <f>MID(Table1[[#This Row],[LookupGroupName]],SEARCH(".",Table1[[#This Row],[LookupGroupName]])+1,99)</f>
        <v>DrawingType</v>
      </c>
      <c r="E47" t="s">
        <v>48</v>
      </c>
      <c r="F47" s="6">
        <f>COUNTIF([1]!Table1[LookupTable],Table1[[#This Row],[TableName]])</f>
        <v>0</v>
      </c>
    </row>
    <row r="48" spans="2:6" x14ac:dyDescent="0.25">
      <c r="B48" t="s">
        <v>42</v>
      </c>
      <c r="C48" s="4" t="str">
        <f>"lkp"&amp;SUBSTITUTE(Table1[[#This Row],[LookupGroupName]],".","")</f>
        <v>lkpTankDrawingsDrawingType</v>
      </c>
      <c r="D48" s="4" t="str">
        <f>MID(Table1[[#This Row],[LookupGroupName]],SEARCH(".",Table1[[#This Row],[LookupGroupName]])+1,99)</f>
        <v>DrawingType</v>
      </c>
      <c r="E48" t="s">
        <v>49</v>
      </c>
      <c r="F48" s="6">
        <f>COUNTIF([1]!Table1[LookupTable],Table1[[#This Row],[TableName]])</f>
        <v>0</v>
      </c>
    </row>
    <row r="49" spans="2:6" x14ac:dyDescent="0.25">
      <c r="B49" t="s">
        <v>42</v>
      </c>
      <c r="C49" s="4" t="str">
        <f>"lkp"&amp;SUBSTITUTE(Table1[[#This Row],[LookupGroupName]],".","")</f>
        <v>lkpTankDrawingsDrawingType</v>
      </c>
      <c r="D49" s="4" t="str">
        <f>MID(Table1[[#This Row],[LookupGroupName]],SEARCH(".",Table1[[#This Row],[LookupGroupName]])+1,99)</f>
        <v>DrawingType</v>
      </c>
      <c r="E49" t="s">
        <v>50</v>
      </c>
      <c r="F49" s="6">
        <f>COUNTIF([1]!Table1[LookupTable],Table1[[#This Row],[TableName]])</f>
        <v>0</v>
      </c>
    </row>
    <row r="50" spans="2:6" x14ac:dyDescent="0.25">
      <c r="B50" t="s">
        <v>42</v>
      </c>
      <c r="C50" s="4" t="str">
        <f>"lkp"&amp;SUBSTITUTE(Table1[[#This Row],[LookupGroupName]],".","")</f>
        <v>lkpTankDrawingsDrawingType</v>
      </c>
      <c r="D50" s="4" t="str">
        <f>MID(Table1[[#This Row],[LookupGroupName]],SEARCH(".",Table1[[#This Row],[LookupGroupName]])+1,99)</f>
        <v>DrawingType</v>
      </c>
      <c r="E50" t="s">
        <v>51</v>
      </c>
      <c r="F50" s="6">
        <f>COUNTIF([1]!Table1[LookupTable],Table1[[#This Row],[TableName]])</f>
        <v>0</v>
      </c>
    </row>
    <row r="51" spans="2:6" x14ac:dyDescent="0.25">
      <c r="B51" t="s">
        <v>42</v>
      </c>
      <c r="C51" s="4" t="str">
        <f>"lkp"&amp;SUBSTITUTE(Table1[[#This Row],[LookupGroupName]],".","")</f>
        <v>lkpTankDrawingsDrawingType</v>
      </c>
      <c r="D51" s="4" t="str">
        <f>MID(Table1[[#This Row],[LookupGroupName]],SEARCH(".",Table1[[#This Row],[LookupGroupName]])+1,99)</f>
        <v>DrawingType</v>
      </c>
      <c r="E51" t="s">
        <v>52</v>
      </c>
      <c r="F51" s="6">
        <f>COUNTIF([1]!Table1[LookupTable],Table1[[#This Row],[TableName]])</f>
        <v>0</v>
      </c>
    </row>
    <row r="52" spans="2:6" x14ac:dyDescent="0.25">
      <c r="B52" t="s">
        <v>42</v>
      </c>
      <c r="C52" s="4" t="str">
        <f>"lkp"&amp;SUBSTITUTE(Table1[[#This Row],[LookupGroupName]],".","")</f>
        <v>lkpTankDrawingsDrawingType</v>
      </c>
      <c r="D52" s="4" t="str">
        <f>MID(Table1[[#This Row],[LookupGroupName]],SEARCH(".",Table1[[#This Row],[LookupGroupName]])+1,99)</f>
        <v>DrawingType</v>
      </c>
      <c r="E52" t="s">
        <v>53</v>
      </c>
      <c r="F52" s="6">
        <f>COUNTIF([1]!Table1[LookupTable],Table1[[#This Row],[TableName]])</f>
        <v>0</v>
      </c>
    </row>
    <row r="53" spans="2:6" x14ac:dyDescent="0.25">
      <c r="B53" t="s">
        <v>42</v>
      </c>
      <c r="C53" s="4" t="str">
        <f>"lkp"&amp;SUBSTITUTE(Table1[[#This Row],[LookupGroupName]],".","")</f>
        <v>lkpTankDrawingsDrawingType</v>
      </c>
      <c r="D53" s="4" t="str">
        <f>MID(Table1[[#This Row],[LookupGroupName]],SEARCH(".",Table1[[#This Row],[LookupGroupName]])+1,99)</f>
        <v>DrawingType</v>
      </c>
      <c r="E53" t="s">
        <v>47</v>
      </c>
      <c r="F53" s="6">
        <f>COUNTIF([1]!Table1[LookupTable],Table1[[#This Row],[TableName]])</f>
        <v>0</v>
      </c>
    </row>
    <row r="54" spans="2:6" x14ac:dyDescent="0.25">
      <c r="B54" t="s">
        <v>42</v>
      </c>
      <c r="C54" s="4" t="str">
        <f>"lkp"&amp;SUBSTITUTE(Table1[[#This Row],[LookupGroupName]],".","")</f>
        <v>lkpTankDrawingsDrawingType</v>
      </c>
      <c r="D54" s="4" t="str">
        <f>MID(Table1[[#This Row],[LookupGroupName]],SEARCH(".",Table1[[#This Row],[LookupGroupName]])+1,99)</f>
        <v>DrawingType</v>
      </c>
      <c r="E54" t="s">
        <v>55</v>
      </c>
      <c r="F54" s="6">
        <f>COUNTIF([1]!Table1[LookupTable],Table1[[#This Row],[TableName]])</f>
        <v>0</v>
      </c>
    </row>
    <row r="55" spans="2:6" x14ac:dyDescent="0.25">
      <c r="B55" t="s">
        <v>42</v>
      </c>
      <c r="C55" s="4" t="str">
        <f>"lkp"&amp;SUBSTITUTE(Table1[[#This Row],[LookupGroupName]],".","")</f>
        <v>lkpTankDrawingsDrawingType</v>
      </c>
      <c r="D55" s="4" t="str">
        <f>MID(Table1[[#This Row],[LookupGroupName]],SEARCH(".",Table1[[#This Row],[LookupGroupName]])+1,99)</f>
        <v>DrawingType</v>
      </c>
      <c r="E55" t="s">
        <v>56</v>
      </c>
      <c r="F55" s="6">
        <f>COUNTIF([1]!Table1[LookupTable],Table1[[#This Row],[TableName]])</f>
        <v>0</v>
      </c>
    </row>
    <row r="56" spans="2:6" x14ac:dyDescent="0.25">
      <c r="B56" t="s">
        <v>57</v>
      </c>
      <c r="C56" s="4" t="str">
        <f>"lkp"&amp;SUBSTITUTE(Table1[[#This Row],[LookupGroupName]],".","")</f>
        <v>lkpFloatingRoofRoofSeal</v>
      </c>
      <c r="D56" s="4" t="str">
        <f>MID(Table1[[#This Row],[LookupGroupName]],SEARCH(".",Table1[[#This Row],[LookupGroupName]])+1,99)</f>
        <v>RoofSeal</v>
      </c>
      <c r="E56" t="s">
        <v>58</v>
      </c>
      <c r="F56" s="6">
        <f>COUNTIF([1]!Table1[LookupTable],Table1[[#This Row],[TableName]])</f>
        <v>2</v>
      </c>
    </row>
    <row r="57" spans="2:6" x14ac:dyDescent="0.25">
      <c r="B57" t="s">
        <v>57</v>
      </c>
      <c r="C57" s="4" t="str">
        <f>"lkp"&amp;SUBSTITUTE(Table1[[#This Row],[LookupGroupName]],".","")</f>
        <v>lkpFloatingRoofRoofSeal</v>
      </c>
      <c r="D57" s="4" t="str">
        <f>MID(Table1[[#This Row],[LookupGroupName]],SEARCH(".",Table1[[#This Row],[LookupGroupName]])+1,99)</f>
        <v>RoofSeal</v>
      </c>
      <c r="E57" t="s">
        <v>59</v>
      </c>
      <c r="F57" s="6">
        <f>COUNTIF([1]!Table1[LookupTable],Table1[[#This Row],[TableName]])</f>
        <v>2</v>
      </c>
    </row>
    <row r="58" spans="2:6" x14ac:dyDescent="0.25">
      <c r="B58" t="s">
        <v>57</v>
      </c>
      <c r="C58" s="4" t="str">
        <f>"lkp"&amp;SUBSTITUTE(Table1[[#This Row],[LookupGroupName]],".","")</f>
        <v>lkpFloatingRoofRoofSeal</v>
      </c>
      <c r="D58" s="4" t="str">
        <f>MID(Table1[[#This Row],[LookupGroupName]],SEARCH(".",Table1[[#This Row],[LookupGroupName]])+1,99)</f>
        <v>RoofSeal</v>
      </c>
      <c r="E58" t="s">
        <v>60</v>
      </c>
      <c r="F58" s="6">
        <f>COUNTIF([1]!Table1[LookupTable],Table1[[#This Row],[TableName]])</f>
        <v>2</v>
      </c>
    </row>
    <row r="59" spans="2:6" x14ac:dyDescent="0.25">
      <c r="B59" t="s">
        <v>57</v>
      </c>
      <c r="C59" s="4" t="str">
        <f>"lkp"&amp;SUBSTITUTE(Table1[[#This Row],[LookupGroupName]],".","")</f>
        <v>lkpFloatingRoofRoofSeal</v>
      </c>
      <c r="D59" s="4" t="str">
        <f>MID(Table1[[#This Row],[LookupGroupName]],SEARCH(".",Table1[[#This Row],[LookupGroupName]])+1,99)</f>
        <v>RoofSeal</v>
      </c>
      <c r="E59" t="s">
        <v>61</v>
      </c>
      <c r="F59" s="6">
        <f>COUNTIF([1]!Table1[LookupTable],Table1[[#This Row],[TableName]])</f>
        <v>2</v>
      </c>
    </row>
    <row r="60" spans="2:6" x14ac:dyDescent="0.25">
      <c r="B60" t="s">
        <v>62</v>
      </c>
      <c r="C60" s="4" t="str">
        <f>"lkp"&amp;SUBSTITUTE(Table1[[#This Row],[LookupGroupName]],".","")</f>
        <v>lkpFloatingRoofRoofType</v>
      </c>
      <c r="D60" s="4" t="str">
        <f>MID(Table1[[#This Row],[LookupGroupName]],SEARCH(".",Table1[[#This Row],[LookupGroupName]])+1,99)</f>
        <v>RoofType</v>
      </c>
      <c r="E60" t="s">
        <v>58</v>
      </c>
      <c r="F60" s="6">
        <f>COUNTIF([1]!Table1[LookupTable],Table1[[#This Row],[TableName]])</f>
        <v>1</v>
      </c>
    </row>
    <row r="61" spans="2:6" x14ac:dyDescent="0.25">
      <c r="B61" t="s">
        <v>62</v>
      </c>
      <c r="C61" s="4" t="str">
        <f>"lkp"&amp;SUBSTITUTE(Table1[[#This Row],[LookupGroupName]],".","")</f>
        <v>lkpFloatingRoofRoofType</v>
      </c>
      <c r="D61" s="4" t="str">
        <f>MID(Table1[[#This Row],[LookupGroupName]],SEARCH(".",Table1[[#This Row],[LookupGroupName]])+1,99)</f>
        <v>RoofType</v>
      </c>
      <c r="E61" t="s">
        <v>63</v>
      </c>
      <c r="F61" s="6">
        <f>COUNTIF([1]!Table1[LookupTable],Table1[[#This Row],[TableName]])</f>
        <v>1</v>
      </c>
    </row>
    <row r="62" spans="2:6" x14ac:dyDescent="0.25">
      <c r="B62" t="s">
        <v>62</v>
      </c>
      <c r="C62" s="4" t="str">
        <f>"lkp"&amp;SUBSTITUTE(Table1[[#This Row],[LookupGroupName]],".","")</f>
        <v>lkpFloatingRoofRoofType</v>
      </c>
      <c r="D62" s="4" t="str">
        <f>MID(Table1[[#This Row],[LookupGroupName]],SEARCH(".",Table1[[#This Row],[LookupGroupName]])+1,99)</f>
        <v>RoofType</v>
      </c>
      <c r="E62" t="s">
        <v>64</v>
      </c>
      <c r="F62" s="6">
        <f>COUNTIF([1]!Table1[LookupTable],Table1[[#This Row],[TableName]])</f>
        <v>1</v>
      </c>
    </row>
    <row r="63" spans="2:6" x14ac:dyDescent="0.25">
      <c r="B63" t="s">
        <v>62</v>
      </c>
      <c r="C63" s="4" t="str">
        <f>"lkp"&amp;SUBSTITUTE(Table1[[#This Row],[LookupGroupName]],".","")</f>
        <v>lkpFloatingRoofRoofType</v>
      </c>
      <c r="D63" s="4" t="str">
        <f>MID(Table1[[#This Row],[LookupGroupName]],SEARCH(".",Table1[[#This Row],[LookupGroupName]])+1,99)</f>
        <v>RoofType</v>
      </c>
      <c r="E63" t="s">
        <v>65</v>
      </c>
      <c r="F63" s="6">
        <f>COUNTIF([1]!Table1[LookupTable],Table1[[#This Row],[TableName]])</f>
        <v>1</v>
      </c>
    </row>
    <row r="64" spans="2:6" x14ac:dyDescent="0.25">
      <c r="B64" t="s">
        <v>66</v>
      </c>
      <c r="C64" s="4" t="str">
        <f>"lkp"&amp;SUBSTITUTE(Table1[[#This Row],[LookupGroupName]],".","")</f>
        <v>lkpTankKPICategory</v>
      </c>
      <c r="D64" s="4" t="str">
        <f>MID(Table1[[#This Row],[LookupGroupName]],SEARCH(".",Table1[[#This Row],[LookupGroupName]])+1,99)</f>
        <v>Category</v>
      </c>
      <c r="E64" t="s">
        <v>67</v>
      </c>
      <c r="F64" s="6">
        <f>COUNTIF([1]!Table1[LookupTable],Table1[[#This Row],[TableName]])</f>
        <v>1</v>
      </c>
    </row>
    <row r="65" spans="2:6" x14ac:dyDescent="0.25">
      <c r="B65" t="s">
        <v>66</v>
      </c>
      <c r="C65" s="4" t="str">
        <f>"lkp"&amp;SUBSTITUTE(Table1[[#This Row],[LookupGroupName]],".","")</f>
        <v>lkpTankKPICategory</v>
      </c>
      <c r="D65" s="4" t="str">
        <f>MID(Table1[[#This Row],[LookupGroupName]],SEARCH(".",Table1[[#This Row],[LookupGroupName]])+1,99)</f>
        <v>Category</v>
      </c>
      <c r="E65" t="s">
        <v>68</v>
      </c>
      <c r="F65" s="6">
        <f>COUNTIF([1]!Table1[LookupTable],Table1[[#This Row],[TableName]])</f>
        <v>1</v>
      </c>
    </row>
    <row r="66" spans="2:6" x14ac:dyDescent="0.25">
      <c r="B66" t="s">
        <v>66</v>
      </c>
      <c r="C66" s="4" t="str">
        <f>"lkp"&amp;SUBSTITUTE(Table1[[#This Row],[LookupGroupName]],".","")</f>
        <v>lkpTankKPICategory</v>
      </c>
      <c r="D66" s="4" t="str">
        <f>MID(Table1[[#This Row],[LookupGroupName]],SEARCH(".",Table1[[#This Row],[LookupGroupName]])+1,99)</f>
        <v>Category</v>
      </c>
      <c r="E66" t="s">
        <v>69</v>
      </c>
      <c r="F66" s="6">
        <f>COUNTIF([1]!Table1[LookupTable],Table1[[#This Row],[TableName]])</f>
        <v>1</v>
      </c>
    </row>
    <row r="67" spans="2:6" x14ac:dyDescent="0.25">
      <c r="B67" t="s">
        <v>66</v>
      </c>
      <c r="C67" s="4" t="str">
        <f>"lkp"&amp;SUBSTITUTE(Table1[[#This Row],[LookupGroupName]],".","")</f>
        <v>lkpTankKPICategory</v>
      </c>
      <c r="D67" s="4" t="str">
        <f>MID(Table1[[#This Row],[LookupGroupName]],SEARCH(".",Table1[[#This Row],[LookupGroupName]])+1,99)</f>
        <v>Category</v>
      </c>
      <c r="E67" t="s">
        <v>70</v>
      </c>
      <c r="F67" s="6">
        <f>COUNTIF([1]!Table1[LookupTable],Table1[[#This Row],[TableName]])</f>
        <v>1</v>
      </c>
    </row>
    <row r="68" spans="2:6" x14ac:dyDescent="0.25">
      <c r="B68" t="s">
        <v>66</v>
      </c>
      <c r="C68" s="4" t="str">
        <f>"lkp"&amp;SUBSTITUTE(Table1[[#This Row],[LookupGroupName]],".","")</f>
        <v>lkpTankKPICategory</v>
      </c>
      <c r="D68" s="4" t="str">
        <f>MID(Table1[[#This Row],[LookupGroupName]],SEARCH(".",Table1[[#This Row],[LookupGroupName]])+1,99)</f>
        <v>Category</v>
      </c>
      <c r="E68" t="s">
        <v>71</v>
      </c>
      <c r="F68" s="6">
        <f>COUNTIF([1]!Table1[LookupTable],Table1[[#This Row],[TableName]])</f>
        <v>1</v>
      </c>
    </row>
    <row r="69" spans="2:6" x14ac:dyDescent="0.25">
      <c r="B69" t="s">
        <v>66</v>
      </c>
      <c r="C69" s="4" t="str">
        <f>"lkp"&amp;SUBSTITUTE(Table1[[#This Row],[LookupGroupName]],".","")</f>
        <v>lkpTankKPICategory</v>
      </c>
      <c r="D69" s="4" t="str">
        <f>MID(Table1[[#This Row],[LookupGroupName]],SEARCH(".",Table1[[#This Row],[LookupGroupName]])+1,99)</f>
        <v>Category</v>
      </c>
      <c r="E69" t="s">
        <v>72</v>
      </c>
      <c r="F69" s="6">
        <f>COUNTIF([1]!Table1[LookupTable],Table1[[#This Row],[TableName]])</f>
        <v>1</v>
      </c>
    </row>
    <row r="70" spans="2:6" x14ac:dyDescent="0.25">
      <c r="B70" t="s">
        <v>66</v>
      </c>
      <c r="C70" s="4" t="str">
        <f>"lkp"&amp;SUBSTITUTE(Table1[[#This Row],[LookupGroupName]],".","")</f>
        <v>lkpTankKPICategory</v>
      </c>
      <c r="D70" s="4" t="str">
        <f>MID(Table1[[#This Row],[LookupGroupName]],SEARCH(".",Table1[[#This Row],[LookupGroupName]])+1,99)</f>
        <v>Category</v>
      </c>
      <c r="E70" t="s">
        <v>73</v>
      </c>
      <c r="F70" s="6">
        <f>COUNTIF([1]!Table1[LookupTable],Table1[[#This Row],[TableName]])</f>
        <v>1</v>
      </c>
    </row>
    <row r="71" spans="2:6" x14ac:dyDescent="0.25">
      <c r="B71" t="s">
        <v>74</v>
      </c>
      <c r="C71" s="4" t="str">
        <f>"lkp"&amp;SUBSTITUTE(Table1[[#This Row],[LookupGroupName]],".","")</f>
        <v>lkpTankKPIPlan</v>
      </c>
      <c r="D71" s="4" t="str">
        <f>MID(Table1[[#This Row],[LookupGroupName]],SEARCH(".",Table1[[#This Row],[LookupGroupName]])+1,99)</f>
        <v>Plan</v>
      </c>
      <c r="E71" t="s">
        <v>75</v>
      </c>
      <c r="F71" s="6">
        <f>COUNTIF([1]!Table1[LookupTable],Table1[[#This Row],[TableName]])</f>
        <v>1</v>
      </c>
    </row>
    <row r="72" spans="2:6" x14ac:dyDescent="0.25">
      <c r="B72" t="s">
        <v>74</v>
      </c>
      <c r="C72" s="4" t="str">
        <f>"lkp"&amp;SUBSTITUTE(Table1[[#This Row],[LookupGroupName]],".","")</f>
        <v>lkpTankKPIPlan</v>
      </c>
      <c r="D72" s="4" t="str">
        <f>MID(Table1[[#This Row],[LookupGroupName]],SEARCH(".",Table1[[#This Row],[LookupGroupName]])+1,99)</f>
        <v>Plan</v>
      </c>
      <c r="E72" t="s">
        <v>76</v>
      </c>
      <c r="F72" s="6">
        <f>COUNTIF([1]!Table1[LookupTable],Table1[[#This Row],[TableName]])</f>
        <v>1</v>
      </c>
    </row>
    <row r="73" spans="2:6" x14ac:dyDescent="0.25">
      <c r="B73" t="s">
        <v>77</v>
      </c>
      <c r="C73" s="4" t="str">
        <f>"lkp"&amp;SUBSTITUTE(Table1[[#This Row],[LookupGroupName]],".","")</f>
        <v>lkpTankKPIStatus</v>
      </c>
      <c r="D73" s="4" t="str">
        <f>MID(Table1[[#This Row],[LookupGroupName]],SEARCH(".",Table1[[#This Row],[LookupGroupName]])+1,99)</f>
        <v>Status</v>
      </c>
      <c r="E73" t="s">
        <v>73</v>
      </c>
      <c r="F73" s="6">
        <f>COUNTIF([1]!Table1[LookupTable],Table1[[#This Row],[TableName]])</f>
        <v>1</v>
      </c>
    </row>
    <row r="74" spans="2:6" x14ac:dyDescent="0.25">
      <c r="B74" t="s">
        <v>77</v>
      </c>
      <c r="C74" s="4" t="str">
        <f>"lkp"&amp;SUBSTITUTE(Table1[[#This Row],[LookupGroupName]],".","")</f>
        <v>lkpTankKPIStatus</v>
      </c>
      <c r="D74" s="4" t="str">
        <f>MID(Table1[[#This Row],[LookupGroupName]],SEARCH(".",Table1[[#This Row],[LookupGroupName]])+1,99)</f>
        <v>Status</v>
      </c>
      <c r="E74" t="s">
        <v>78</v>
      </c>
      <c r="F74" s="6">
        <f>COUNTIF([1]!Table1[LookupTable],Table1[[#This Row],[TableName]])</f>
        <v>1</v>
      </c>
    </row>
    <row r="75" spans="2:6" x14ac:dyDescent="0.25">
      <c r="B75" t="s">
        <v>77</v>
      </c>
      <c r="C75" s="4" t="str">
        <f>"lkp"&amp;SUBSTITUTE(Table1[[#This Row],[LookupGroupName]],".","")</f>
        <v>lkpTankKPIStatus</v>
      </c>
      <c r="D75" s="4" t="str">
        <f>MID(Table1[[#This Row],[LookupGroupName]],SEARCH(".",Table1[[#This Row],[LookupGroupName]])+1,99)</f>
        <v>Status</v>
      </c>
      <c r="E75" t="s">
        <v>79</v>
      </c>
      <c r="F75" s="6">
        <f>COUNTIF([1]!Table1[LookupTable],Table1[[#This Row],[TableName]])</f>
        <v>1</v>
      </c>
    </row>
    <row r="76" spans="2:6" x14ac:dyDescent="0.25">
      <c r="B76" t="s">
        <v>77</v>
      </c>
      <c r="C76" s="4" t="str">
        <f>"lkp"&amp;SUBSTITUTE(Table1[[#This Row],[LookupGroupName]],".","")</f>
        <v>lkpTankKPIStatus</v>
      </c>
      <c r="D76" s="4" t="str">
        <f>MID(Table1[[#This Row],[LookupGroupName]],SEARCH(".",Table1[[#This Row],[LookupGroupName]])+1,99)</f>
        <v>Status</v>
      </c>
      <c r="E76" t="s">
        <v>72</v>
      </c>
      <c r="F76" s="6">
        <f>COUNTIF([1]!Table1[LookupTable],Table1[[#This Row],[TableName]])</f>
        <v>1</v>
      </c>
    </row>
    <row r="77" spans="2:6" x14ac:dyDescent="0.25">
      <c r="B77" t="s">
        <v>77</v>
      </c>
      <c r="C77" s="4" t="str">
        <f>"lkp"&amp;SUBSTITUTE(Table1[[#This Row],[LookupGroupName]],".","")</f>
        <v>lkpTankKPIStatus</v>
      </c>
      <c r="D77" s="4" t="str">
        <f>MID(Table1[[#This Row],[LookupGroupName]],SEARCH(".",Table1[[#This Row],[LookupGroupName]])+1,99)</f>
        <v>Status</v>
      </c>
      <c r="E77" t="s">
        <v>80</v>
      </c>
      <c r="F77" s="6">
        <f>COUNTIF([1]!Table1[LookupTable],Table1[[#This Row],[TableName]])</f>
        <v>1</v>
      </c>
    </row>
    <row r="78" spans="2:6" x14ac:dyDescent="0.25">
      <c r="B78" t="s">
        <v>77</v>
      </c>
      <c r="C78" s="4" t="str">
        <f>"lkp"&amp;SUBSTITUTE(Table1[[#This Row],[LookupGroupName]],".","")</f>
        <v>lkpTankKPIStatus</v>
      </c>
      <c r="D78" s="4" t="str">
        <f>MID(Table1[[#This Row],[LookupGroupName]],SEARCH(".",Table1[[#This Row],[LookupGroupName]])+1,99)</f>
        <v>Status</v>
      </c>
      <c r="E78" t="s">
        <v>81</v>
      </c>
      <c r="F78" s="6">
        <f>COUNTIF([1]!Table1[LookupTable],Table1[[#This Row],[TableName]])</f>
        <v>1</v>
      </c>
    </row>
    <row r="79" spans="2:6" x14ac:dyDescent="0.25">
      <c r="B79" t="s">
        <v>77</v>
      </c>
      <c r="C79" s="4" t="str">
        <f>"lkp"&amp;SUBSTITUTE(Table1[[#This Row],[LookupGroupName]],".","")</f>
        <v>lkpTankKPIStatus</v>
      </c>
      <c r="D79" s="4" t="str">
        <f>MID(Table1[[#This Row],[LookupGroupName]],SEARCH(".",Table1[[#This Row],[LookupGroupName]])+1,99)</f>
        <v>Status</v>
      </c>
      <c r="E79" t="s">
        <v>82</v>
      </c>
      <c r="F79" s="6">
        <f>COUNTIF([1]!Table1[LookupTable],Table1[[#This Row],[TableName]])</f>
        <v>1</v>
      </c>
    </row>
    <row r="80" spans="2:6" x14ac:dyDescent="0.25">
      <c r="B80" t="s">
        <v>77</v>
      </c>
      <c r="C80" s="4" t="str">
        <f>"lkp"&amp;SUBSTITUTE(Table1[[#This Row],[LookupGroupName]],".","")</f>
        <v>lkpTankKPIStatus</v>
      </c>
      <c r="D80" s="4" t="str">
        <f>MID(Table1[[#This Row],[LookupGroupName]],SEARCH(".",Table1[[#This Row],[LookupGroupName]])+1,99)</f>
        <v>Status</v>
      </c>
      <c r="E80" t="s">
        <v>83</v>
      </c>
      <c r="F80" s="6">
        <f>COUNTIF([1]!Table1[LookupTable],Table1[[#This Row],[TableName]])</f>
        <v>1</v>
      </c>
    </row>
    <row r="81" spans="2:6" x14ac:dyDescent="0.25">
      <c r="B81" t="s">
        <v>84</v>
      </c>
      <c r="C81" s="4" t="str">
        <f>"lkp"&amp;SUBSTITUTE(Table1[[#This Row],[LookupGroupName]],".","")</f>
        <v>lkpTankMaintHistoryMaintenanceType</v>
      </c>
      <c r="D81" s="4" t="str">
        <f>MID(Table1[[#This Row],[LookupGroupName]],SEARCH(".",Table1[[#This Row],[LookupGroupName]])+1,99)</f>
        <v>MaintenanceType</v>
      </c>
      <c r="E81" t="s">
        <v>85</v>
      </c>
      <c r="F81" s="6">
        <f>COUNTIF([1]!Table1[LookupTable],Table1[[#This Row],[TableName]])</f>
        <v>1</v>
      </c>
    </row>
    <row r="82" spans="2:6" x14ac:dyDescent="0.25">
      <c r="B82" t="s">
        <v>84</v>
      </c>
      <c r="C82" s="4" t="str">
        <f>"lkp"&amp;SUBSTITUTE(Table1[[#This Row],[LookupGroupName]],".","")</f>
        <v>lkpTankMaintHistoryMaintenanceType</v>
      </c>
      <c r="D82" s="4" t="str">
        <f>MID(Table1[[#This Row],[LookupGroupName]],SEARCH(".",Table1[[#This Row],[LookupGroupName]])+1,99)</f>
        <v>MaintenanceType</v>
      </c>
      <c r="E82" t="s">
        <v>86</v>
      </c>
      <c r="F82" s="6">
        <f>COUNTIF([1]!Table1[LookupTable],Table1[[#This Row],[TableName]])</f>
        <v>1</v>
      </c>
    </row>
    <row r="83" spans="2:6" x14ac:dyDescent="0.25">
      <c r="B83" t="s">
        <v>84</v>
      </c>
      <c r="C83" s="4" t="str">
        <f>"lkp"&amp;SUBSTITUTE(Table1[[#This Row],[LookupGroupName]],".","")</f>
        <v>lkpTankMaintHistoryMaintenanceType</v>
      </c>
      <c r="D83" s="4" t="str">
        <f>MID(Table1[[#This Row],[LookupGroupName]],SEARCH(".",Table1[[#This Row],[LookupGroupName]])+1,99)</f>
        <v>MaintenanceType</v>
      </c>
      <c r="E83" t="s">
        <v>87</v>
      </c>
      <c r="F83" s="6">
        <f>COUNTIF([1]!Table1[LookupTable],Table1[[#This Row],[TableName]])</f>
        <v>1</v>
      </c>
    </row>
    <row r="84" spans="2:6" x14ac:dyDescent="0.25">
      <c r="B84" t="s">
        <v>84</v>
      </c>
      <c r="C84" s="4" t="str">
        <f>"lkp"&amp;SUBSTITUTE(Table1[[#This Row],[LookupGroupName]],".","")</f>
        <v>lkpTankMaintHistoryMaintenanceType</v>
      </c>
      <c r="D84" s="4" t="str">
        <f>MID(Table1[[#This Row],[LookupGroupName]],SEARCH(".",Table1[[#This Row],[LookupGroupName]])+1,99)</f>
        <v>MaintenanceType</v>
      </c>
      <c r="E84" t="s">
        <v>88</v>
      </c>
      <c r="F84" s="6">
        <f>COUNTIF([1]!Table1[LookupTable],Table1[[#This Row],[TableName]])</f>
        <v>1</v>
      </c>
    </row>
    <row r="85" spans="2:6" x14ac:dyDescent="0.25">
      <c r="B85" t="s">
        <v>84</v>
      </c>
      <c r="C85" s="4" t="str">
        <f>"lkp"&amp;SUBSTITUTE(Table1[[#This Row],[LookupGroupName]],".","")</f>
        <v>lkpTankMaintHistoryMaintenanceType</v>
      </c>
      <c r="D85" s="4" t="str">
        <f>MID(Table1[[#This Row],[LookupGroupName]],SEARCH(".",Table1[[#This Row],[LookupGroupName]])+1,99)</f>
        <v>MaintenanceType</v>
      </c>
      <c r="E85" t="s">
        <v>89</v>
      </c>
      <c r="F85" s="6">
        <f>COUNTIF([1]!Table1[LookupTable],Table1[[#This Row],[TableName]])</f>
        <v>1</v>
      </c>
    </row>
    <row r="86" spans="2:6" x14ac:dyDescent="0.25">
      <c r="B86" t="s">
        <v>84</v>
      </c>
      <c r="C86" s="4" t="str">
        <f>"lkp"&amp;SUBSTITUTE(Table1[[#This Row],[LookupGroupName]],".","")</f>
        <v>lkpTankMaintHistoryMaintenanceType</v>
      </c>
      <c r="D86" s="4" t="str">
        <f>MID(Table1[[#This Row],[LookupGroupName]],SEARCH(".",Table1[[#This Row],[LookupGroupName]])+1,99)</f>
        <v>MaintenanceType</v>
      </c>
      <c r="E86" t="s">
        <v>90</v>
      </c>
      <c r="F86" s="6">
        <f>COUNTIF([1]!Table1[LookupTable],Table1[[#This Row],[TableName]])</f>
        <v>1</v>
      </c>
    </row>
    <row r="87" spans="2:6" x14ac:dyDescent="0.25">
      <c r="B87" t="s">
        <v>84</v>
      </c>
      <c r="C87" s="4" t="str">
        <f>"lkp"&amp;SUBSTITUTE(Table1[[#This Row],[LookupGroupName]],".","")</f>
        <v>lkpTankMaintHistoryMaintenanceType</v>
      </c>
      <c r="D87" s="4" t="str">
        <f>MID(Table1[[#This Row],[LookupGroupName]],SEARCH(".",Table1[[#This Row],[LookupGroupName]])+1,99)</f>
        <v>MaintenanceType</v>
      </c>
      <c r="E87" t="s">
        <v>91</v>
      </c>
      <c r="F87" s="6">
        <f>COUNTIF([1]!Table1[LookupTable],Table1[[#This Row],[TableName]])</f>
        <v>1</v>
      </c>
    </row>
    <row r="88" spans="2:6" x14ac:dyDescent="0.25">
      <c r="B88" t="s">
        <v>84</v>
      </c>
      <c r="C88" s="4" t="str">
        <f>"lkp"&amp;SUBSTITUTE(Table1[[#This Row],[LookupGroupName]],".","")</f>
        <v>lkpTankMaintHistoryMaintenanceType</v>
      </c>
      <c r="D88" s="4" t="str">
        <f>MID(Table1[[#This Row],[LookupGroupName]],SEARCH(".",Table1[[#This Row],[LookupGroupName]])+1,99)</f>
        <v>MaintenanceType</v>
      </c>
      <c r="E88" t="s">
        <v>92</v>
      </c>
      <c r="F88" s="6">
        <f>COUNTIF([1]!Table1[LookupTable],Table1[[#This Row],[TableName]])</f>
        <v>1</v>
      </c>
    </row>
    <row r="89" spans="2:6" x14ac:dyDescent="0.25">
      <c r="B89" t="s">
        <v>84</v>
      </c>
      <c r="C89" s="4" t="str">
        <f>"lkp"&amp;SUBSTITUTE(Table1[[#This Row],[LookupGroupName]],".","")</f>
        <v>lkpTankMaintHistoryMaintenanceType</v>
      </c>
      <c r="D89" s="4" t="str">
        <f>MID(Table1[[#This Row],[LookupGroupName]],SEARCH(".",Table1[[#This Row],[LookupGroupName]])+1,99)</f>
        <v>MaintenanceType</v>
      </c>
      <c r="E89" t="s">
        <v>93</v>
      </c>
      <c r="F89" s="6">
        <f>COUNTIF([1]!Table1[LookupTable],Table1[[#This Row],[TableName]])</f>
        <v>1</v>
      </c>
    </row>
    <row r="90" spans="2:6" x14ac:dyDescent="0.25">
      <c r="B90" t="s">
        <v>84</v>
      </c>
      <c r="C90" s="4" t="str">
        <f>"lkp"&amp;SUBSTITUTE(Table1[[#This Row],[LookupGroupName]],".","")</f>
        <v>lkpTankMaintHistoryMaintenanceType</v>
      </c>
      <c r="D90" s="4" t="str">
        <f>MID(Table1[[#This Row],[LookupGroupName]],SEARCH(".",Table1[[#This Row],[LookupGroupName]])+1,99)</f>
        <v>MaintenanceType</v>
      </c>
      <c r="E90" t="s">
        <v>94</v>
      </c>
      <c r="F90" s="6">
        <f>COUNTIF([1]!Table1[LookupTable],Table1[[#This Row],[TableName]])</f>
        <v>1</v>
      </c>
    </row>
    <row r="91" spans="2:6" x14ac:dyDescent="0.25">
      <c r="B91" t="s">
        <v>84</v>
      </c>
      <c r="C91" s="4" t="str">
        <f>"lkp"&amp;SUBSTITUTE(Table1[[#This Row],[LookupGroupName]],".","")</f>
        <v>lkpTankMaintHistoryMaintenanceType</v>
      </c>
      <c r="D91" s="4" t="str">
        <f>MID(Table1[[#This Row],[LookupGroupName]],SEARCH(".",Table1[[#This Row],[LookupGroupName]])+1,99)</f>
        <v>MaintenanceType</v>
      </c>
      <c r="E91" t="s">
        <v>95</v>
      </c>
      <c r="F91" s="6">
        <f>COUNTIF([1]!Table1[LookupTable],Table1[[#This Row],[TableName]])</f>
        <v>1</v>
      </c>
    </row>
    <row r="92" spans="2:6" x14ac:dyDescent="0.25">
      <c r="B92" t="s">
        <v>84</v>
      </c>
      <c r="C92" s="4" t="str">
        <f>"lkp"&amp;SUBSTITUTE(Table1[[#This Row],[LookupGroupName]],".","")</f>
        <v>lkpTankMaintHistoryMaintenanceType</v>
      </c>
      <c r="D92" s="4" t="str">
        <f>MID(Table1[[#This Row],[LookupGroupName]],SEARCH(".",Table1[[#This Row],[LookupGroupName]])+1,99)</f>
        <v>MaintenanceType</v>
      </c>
      <c r="E92" t="s">
        <v>96</v>
      </c>
      <c r="F92" s="6">
        <f>COUNTIF([1]!Table1[LookupTable],Table1[[#This Row],[TableName]])</f>
        <v>1</v>
      </c>
    </row>
    <row r="93" spans="2:6" x14ac:dyDescent="0.25">
      <c r="B93" t="s">
        <v>84</v>
      </c>
      <c r="C93" s="4" t="str">
        <f>"lkp"&amp;SUBSTITUTE(Table1[[#This Row],[LookupGroupName]],".","")</f>
        <v>lkpTankMaintHistoryMaintenanceType</v>
      </c>
      <c r="D93" s="4" t="str">
        <f>MID(Table1[[#This Row],[LookupGroupName]],SEARCH(".",Table1[[#This Row],[LookupGroupName]])+1,99)</f>
        <v>MaintenanceType</v>
      </c>
      <c r="E93" t="s">
        <v>97</v>
      </c>
      <c r="F93" s="6">
        <f>COUNTIF([1]!Table1[LookupTable],Table1[[#This Row],[TableName]])</f>
        <v>1</v>
      </c>
    </row>
    <row r="94" spans="2:6" x14ac:dyDescent="0.25">
      <c r="B94" t="s">
        <v>98</v>
      </c>
      <c r="C94" s="4" t="str">
        <f>"lkp"&amp;SUBSTITUTE(Table1[[#This Row],[LookupGroupName]],".","")</f>
        <v>lkpTankMaintPlanPlanGroup</v>
      </c>
      <c r="D94" s="4" t="str">
        <f>MID(Table1[[#This Row],[LookupGroupName]],SEARCH(".",Table1[[#This Row],[LookupGroupName]])+1,99)</f>
        <v>PlanGroup</v>
      </c>
      <c r="E94" t="s">
        <v>99</v>
      </c>
      <c r="F94" s="6">
        <f>COUNTIF([1]!Table1[LookupTable],Table1[[#This Row],[TableName]])</f>
        <v>1</v>
      </c>
    </row>
    <row r="95" spans="2:6" x14ac:dyDescent="0.25">
      <c r="B95" t="s">
        <v>98</v>
      </c>
      <c r="C95" s="4" t="str">
        <f>"lkp"&amp;SUBSTITUTE(Table1[[#This Row],[LookupGroupName]],".","")</f>
        <v>lkpTankMaintPlanPlanGroup</v>
      </c>
      <c r="D95" s="4" t="str">
        <f>MID(Table1[[#This Row],[LookupGroupName]],SEARCH(".",Table1[[#This Row],[LookupGroupName]])+1,99)</f>
        <v>PlanGroup</v>
      </c>
      <c r="E95" t="s">
        <v>100</v>
      </c>
      <c r="F95" s="6">
        <f>COUNTIF([1]!Table1[LookupTable],Table1[[#This Row],[TableName]])</f>
        <v>1</v>
      </c>
    </row>
    <row r="96" spans="2:6" x14ac:dyDescent="0.25">
      <c r="B96" t="s">
        <v>98</v>
      </c>
      <c r="C96" s="4" t="str">
        <f>"lkp"&amp;SUBSTITUTE(Table1[[#This Row],[LookupGroupName]],".","")</f>
        <v>lkpTankMaintPlanPlanGroup</v>
      </c>
      <c r="D96" s="4" t="str">
        <f>MID(Table1[[#This Row],[LookupGroupName]],SEARCH(".",Table1[[#This Row],[LookupGroupName]])+1,99)</f>
        <v>PlanGroup</v>
      </c>
      <c r="E96" t="s">
        <v>101</v>
      </c>
      <c r="F96" s="6">
        <f>COUNTIF([1]!Table1[LookupTable],Table1[[#This Row],[TableName]])</f>
        <v>1</v>
      </c>
    </row>
    <row r="97" spans="2:6" x14ac:dyDescent="0.25">
      <c r="B97" t="s">
        <v>98</v>
      </c>
      <c r="C97" s="4" t="str">
        <f>"lkp"&amp;SUBSTITUTE(Table1[[#This Row],[LookupGroupName]],".","")</f>
        <v>lkpTankMaintPlanPlanGroup</v>
      </c>
      <c r="D97" s="4" t="str">
        <f>MID(Table1[[#This Row],[LookupGroupName]],SEARCH(".",Table1[[#This Row],[LookupGroupName]])+1,99)</f>
        <v>PlanGroup</v>
      </c>
      <c r="E97" t="s">
        <v>102</v>
      </c>
      <c r="F97" s="6">
        <f>COUNTIF([1]!Table1[LookupTable],Table1[[#This Row],[TableName]])</f>
        <v>1</v>
      </c>
    </row>
    <row r="98" spans="2:6" x14ac:dyDescent="0.25">
      <c r="B98" t="s">
        <v>98</v>
      </c>
      <c r="C98" s="4" t="str">
        <f>"lkp"&amp;SUBSTITUTE(Table1[[#This Row],[LookupGroupName]],".","")</f>
        <v>lkpTankMaintPlanPlanGroup</v>
      </c>
      <c r="D98" s="4" t="str">
        <f>MID(Table1[[#This Row],[LookupGroupName]],SEARCH(".",Table1[[#This Row],[LookupGroupName]])+1,99)</f>
        <v>PlanGroup</v>
      </c>
      <c r="E98" t="s">
        <v>103</v>
      </c>
      <c r="F98" s="6">
        <f>COUNTIF([1]!Table1[LookupTable],Table1[[#This Row],[TableName]])</f>
        <v>1</v>
      </c>
    </row>
    <row r="99" spans="2:6" x14ac:dyDescent="0.25">
      <c r="B99" t="s">
        <v>98</v>
      </c>
      <c r="C99" s="4" t="str">
        <f>"lkp"&amp;SUBSTITUTE(Table1[[#This Row],[LookupGroupName]],".","")</f>
        <v>lkpTankMaintPlanPlanGroup</v>
      </c>
      <c r="D99" s="4" t="str">
        <f>MID(Table1[[#This Row],[LookupGroupName]],SEARCH(".",Table1[[#This Row],[LookupGroupName]])+1,99)</f>
        <v>PlanGroup</v>
      </c>
      <c r="E99" t="s">
        <v>104</v>
      </c>
      <c r="F99" s="6">
        <f>COUNTIF([1]!Table1[LookupTable],Table1[[#This Row],[TableName]])</f>
        <v>1</v>
      </c>
    </row>
    <row r="100" spans="2:6" x14ac:dyDescent="0.25">
      <c r="B100" t="s">
        <v>98</v>
      </c>
      <c r="C100" s="4" t="str">
        <f>"lkp"&amp;SUBSTITUTE(Table1[[#This Row],[LookupGroupName]],".","")</f>
        <v>lkpTankMaintPlanPlanGroup</v>
      </c>
      <c r="D100" s="4" t="str">
        <f>MID(Table1[[#This Row],[LookupGroupName]],SEARCH(".",Table1[[#This Row],[LookupGroupName]])+1,99)</f>
        <v>PlanGroup</v>
      </c>
      <c r="E100" t="s">
        <v>105</v>
      </c>
      <c r="F100" s="6">
        <f>COUNTIF([1]!Table1[LookupTable],Table1[[#This Row],[TableName]])</f>
        <v>1</v>
      </c>
    </row>
    <row r="101" spans="2:6" x14ac:dyDescent="0.25">
      <c r="B101" t="s">
        <v>98</v>
      </c>
      <c r="C101" s="4" t="str">
        <f>"lkp"&amp;SUBSTITUTE(Table1[[#This Row],[LookupGroupName]],".","")</f>
        <v>lkpTankMaintPlanPlanGroup</v>
      </c>
      <c r="D101" s="4" t="str">
        <f>MID(Table1[[#This Row],[LookupGroupName]],SEARCH(".",Table1[[#This Row],[LookupGroupName]])+1,99)</f>
        <v>PlanGroup</v>
      </c>
      <c r="E101" t="s">
        <v>106</v>
      </c>
      <c r="F101" s="6">
        <f>COUNTIF([1]!Table1[LookupTable],Table1[[#This Row],[TableName]])</f>
        <v>1</v>
      </c>
    </row>
    <row r="102" spans="2:6" x14ac:dyDescent="0.25">
      <c r="B102" t="s">
        <v>98</v>
      </c>
      <c r="C102" s="4" t="str">
        <f>"lkp"&amp;SUBSTITUTE(Table1[[#This Row],[LookupGroupName]],".","")</f>
        <v>lkpTankMaintPlanPlanGroup</v>
      </c>
      <c r="D102" s="4" t="str">
        <f>MID(Table1[[#This Row],[LookupGroupName]],SEARCH(".",Table1[[#This Row],[LookupGroupName]])+1,99)</f>
        <v>PlanGroup</v>
      </c>
      <c r="E102" t="s">
        <v>107</v>
      </c>
      <c r="F102" s="6">
        <f>COUNTIF([1]!Table1[LookupTable],Table1[[#This Row],[TableName]])</f>
        <v>1</v>
      </c>
    </row>
    <row r="103" spans="2:6" x14ac:dyDescent="0.25">
      <c r="B103" t="s">
        <v>98</v>
      </c>
      <c r="C103" s="4" t="str">
        <f>"lkp"&amp;SUBSTITUTE(Table1[[#This Row],[LookupGroupName]],".","")</f>
        <v>lkpTankMaintPlanPlanGroup</v>
      </c>
      <c r="D103" s="4" t="str">
        <f>MID(Table1[[#This Row],[LookupGroupName]],SEARCH(".",Table1[[#This Row],[LookupGroupName]])+1,99)</f>
        <v>PlanGroup</v>
      </c>
      <c r="E103" t="s">
        <v>108</v>
      </c>
      <c r="F103" s="6">
        <f>COUNTIF([1]!Table1[LookupTable],Table1[[#This Row],[TableName]])</f>
        <v>1</v>
      </c>
    </row>
    <row r="104" spans="2:6" x14ac:dyDescent="0.25">
      <c r="B104" t="s">
        <v>98</v>
      </c>
      <c r="C104" s="4" t="str">
        <f>"lkp"&amp;SUBSTITUTE(Table1[[#This Row],[LookupGroupName]],".","")</f>
        <v>lkpTankMaintPlanPlanGroup</v>
      </c>
      <c r="D104" s="4" t="str">
        <f>MID(Table1[[#This Row],[LookupGroupName]],SEARCH(".",Table1[[#This Row],[LookupGroupName]])+1,99)</f>
        <v>PlanGroup</v>
      </c>
      <c r="E104" t="s">
        <v>109</v>
      </c>
      <c r="F104" s="6">
        <f>COUNTIF([1]!Table1[LookupTable],Table1[[#This Row],[TableName]])</f>
        <v>1</v>
      </c>
    </row>
    <row r="105" spans="2:6" x14ac:dyDescent="0.25">
      <c r="B105" t="s">
        <v>98</v>
      </c>
      <c r="C105" s="4" t="str">
        <f>"lkp"&amp;SUBSTITUTE(Table1[[#This Row],[LookupGroupName]],".","")</f>
        <v>lkpTankMaintPlanPlanGroup</v>
      </c>
      <c r="D105" s="4" t="str">
        <f>MID(Table1[[#This Row],[LookupGroupName]],SEARCH(".",Table1[[#This Row],[LookupGroupName]])+1,99)</f>
        <v>PlanGroup</v>
      </c>
      <c r="E105" t="s">
        <v>110</v>
      </c>
      <c r="F105" s="6">
        <f>COUNTIF([1]!Table1[LookupTable],Table1[[#This Row],[TableName]])</f>
        <v>1</v>
      </c>
    </row>
    <row r="106" spans="2:6" x14ac:dyDescent="0.25">
      <c r="B106" t="s">
        <v>98</v>
      </c>
      <c r="C106" s="4" t="str">
        <f>"lkp"&amp;SUBSTITUTE(Table1[[#This Row],[LookupGroupName]],".","")</f>
        <v>lkpTankMaintPlanPlanGroup</v>
      </c>
      <c r="D106" s="4" t="str">
        <f>MID(Table1[[#This Row],[LookupGroupName]],SEARCH(".",Table1[[#This Row],[LookupGroupName]])+1,99)</f>
        <v>PlanGroup</v>
      </c>
      <c r="E106" t="s">
        <v>111</v>
      </c>
      <c r="F106" s="6">
        <f>COUNTIF([1]!Table1[LookupTable],Table1[[#This Row],[TableName]])</f>
        <v>1</v>
      </c>
    </row>
    <row r="107" spans="2:6" x14ac:dyDescent="0.25">
      <c r="B107" t="s">
        <v>98</v>
      </c>
      <c r="C107" s="4" t="str">
        <f>"lkp"&amp;SUBSTITUTE(Table1[[#This Row],[LookupGroupName]],".","")</f>
        <v>lkpTankMaintPlanPlanGroup</v>
      </c>
      <c r="D107" s="4" t="str">
        <f>MID(Table1[[#This Row],[LookupGroupName]],SEARCH(".",Table1[[#This Row],[LookupGroupName]])+1,99)</f>
        <v>PlanGroup</v>
      </c>
      <c r="E107" t="s">
        <v>112</v>
      </c>
      <c r="F107" s="6">
        <f>COUNTIF([1]!Table1[LookupTable],Table1[[#This Row],[TableName]])</f>
        <v>1</v>
      </c>
    </row>
    <row r="108" spans="2:6" x14ac:dyDescent="0.25">
      <c r="B108" t="s">
        <v>98</v>
      </c>
      <c r="C108" s="4" t="str">
        <f>"lkp"&amp;SUBSTITUTE(Table1[[#This Row],[LookupGroupName]],".","")</f>
        <v>lkpTankMaintPlanPlanGroup</v>
      </c>
      <c r="D108" s="4" t="str">
        <f>MID(Table1[[#This Row],[LookupGroupName]],SEARCH(".",Table1[[#This Row],[LookupGroupName]])+1,99)</f>
        <v>PlanGroup</v>
      </c>
      <c r="E108" t="s">
        <v>113</v>
      </c>
      <c r="F108" s="6">
        <f>COUNTIF([1]!Table1[LookupTable],Table1[[#This Row],[TableName]])</f>
        <v>1</v>
      </c>
    </row>
    <row r="109" spans="2:6" x14ac:dyDescent="0.25">
      <c r="B109" t="s">
        <v>98</v>
      </c>
      <c r="C109" s="4" t="str">
        <f>"lkp"&amp;SUBSTITUTE(Table1[[#This Row],[LookupGroupName]],".","")</f>
        <v>lkpTankMaintPlanPlanGroup</v>
      </c>
      <c r="D109" s="4" t="str">
        <f>MID(Table1[[#This Row],[LookupGroupName]],SEARCH(".",Table1[[#This Row],[LookupGroupName]])+1,99)</f>
        <v>PlanGroup</v>
      </c>
      <c r="E109" t="s">
        <v>114</v>
      </c>
      <c r="F109" s="6">
        <f>COUNTIF([1]!Table1[LookupTable],Table1[[#This Row],[TableName]])</f>
        <v>1</v>
      </c>
    </row>
    <row r="110" spans="2:6" x14ac:dyDescent="0.25">
      <c r="B110" t="s">
        <v>98</v>
      </c>
      <c r="C110" s="4" t="str">
        <f>"lkp"&amp;SUBSTITUTE(Table1[[#This Row],[LookupGroupName]],".","")</f>
        <v>lkpTankMaintPlanPlanGroup</v>
      </c>
      <c r="D110" s="4" t="str">
        <f>MID(Table1[[#This Row],[LookupGroupName]],SEARCH(".",Table1[[#This Row],[LookupGroupName]])+1,99)</f>
        <v>PlanGroup</v>
      </c>
      <c r="E110" t="s">
        <v>115</v>
      </c>
      <c r="F110" s="6">
        <f>COUNTIF([1]!Table1[LookupTable],Table1[[#This Row],[TableName]])</f>
        <v>1</v>
      </c>
    </row>
    <row r="111" spans="2:6" x14ac:dyDescent="0.25">
      <c r="B111" t="s">
        <v>98</v>
      </c>
      <c r="C111" s="4" t="str">
        <f>"lkp"&amp;SUBSTITUTE(Table1[[#This Row],[LookupGroupName]],".","")</f>
        <v>lkpTankMaintPlanPlanGroup</v>
      </c>
      <c r="D111" s="4" t="str">
        <f>MID(Table1[[#This Row],[LookupGroupName]],SEARCH(".",Table1[[#This Row],[LookupGroupName]])+1,99)</f>
        <v>PlanGroup</v>
      </c>
      <c r="E111" t="s">
        <v>116</v>
      </c>
      <c r="F111" s="6">
        <f>COUNTIF([1]!Table1[LookupTable],Table1[[#This Row],[TableName]])</f>
        <v>1</v>
      </c>
    </row>
    <row r="112" spans="2:6" x14ac:dyDescent="0.25">
      <c r="B112" t="s">
        <v>98</v>
      </c>
      <c r="C112" s="4" t="str">
        <f>"lkp"&amp;SUBSTITUTE(Table1[[#This Row],[LookupGroupName]],".","")</f>
        <v>lkpTankMaintPlanPlanGroup</v>
      </c>
      <c r="D112" s="4" t="str">
        <f>MID(Table1[[#This Row],[LookupGroupName]],SEARCH(".",Table1[[#This Row],[LookupGroupName]])+1,99)</f>
        <v>PlanGroup</v>
      </c>
      <c r="E112" t="s">
        <v>117</v>
      </c>
      <c r="F112" s="6">
        <f>COUNTIF([1]!Table1[LookupTable],Table1[[#This Row],[TableName]])</f>
        <v>1</v>
      </c>
    </row>
    <row r="113" spans="2:6" x14ac:dyDescent="0.25">
      <c r="B113" t="s">
        <v>98</v>
      </c>
      <c r="C113" s="4" t="str">
        <f>"lkp"&amp;SUBSTITUTE(Table1[[#This Row],[LookupGroupName]],".","")</f>
        <v>lkpTankMaintPlanPlanGroup</v>
      </c>
      <c r="D113" s="4" t="str">
        <f>MID(Table1[[#This Row],[LookupGroupName]],SEARCH(".",Table1[[#This Row],[LookupGroupName]])+1,99)</f>
        <v>PlanGroup</v>
      </c>
      <c r="E113" t="s">
        <v>118</v>
      </c>
      <c r="F113" s="6">
        <f>COUNTIF([1]!Table1[LookupTable],Table1[[#This Row],[TableName]])</f>
        <v>1</v>
      </c>
    </row>
    <row r="114" spans="2:6" x14ac:dyDescent="0.25">
      <c r="B114" t="s">
        <v>98</v>
      </c>
      <c r="C114" s="4" t="str">
        <f>"lkp"&amp;SUBSTITUTE(Table1[[#This Row],[LookupGroupName]],".","")</f>
        <v>lkpTankMaintPlanPlanGroup</v>
      </c>
      <c r="D114" s="4" t="str">
        <f>MID(Table1[[#This Row],[LookupGroupName]],SEARCH(".",Table1[[#This Row],[LookupGroupName]])+1,99)</f>
        <v>PlanGroup</v>
      </c>
      <c r="E114" t="s">
        <v>119</v>
      </c>
      <c r="F114" s="6">
        <f>COUNTIF([1]!Table1[LookupTable],Table1[[#This Row],[TableName]])</f>
        <v>1</v>
      </c>
    </row>
    <row r="115" spans="2:6" x14ac:dyDescent="0.25">
      <c r="B115" t="s">
        <v>98</v>
      </c>
      <c r="C115" s="4" t="str">
        <f>"lkp"&amp;SUBSTITUTE(Table1[[#This Row],[LookupGroupName]],".","")</f>
        <v>lkpTankMaintPlanPlanGroup</v>
      </c>
      <c r="D115" s="4" t="str">
        <f>MID(Table1[[#This Row],[LookupGroupName]],SEARCH(".",Table1[[#This Row],[LookupGroupName]])+1,99)</f>
        <v>PlanGroup</v>
      </c>
      <c r="E115" t="s">
        <v>120</v>
      </c>
      <c r="F115" s="6">
        <f>COUNTIF([1]!Table1[LookupTable],Table1[[#This Row],[TableName]])</f>
        <v>1</v>
      </c>
    </row>
    <row r="116" spans="2:6" x14ac:dyDescent="0.25">
      <c r="B116" t="s">
        <v>98</v>
      </c>
      <c r="C116" s="4" t="str">
        <f>"lkp"&amp;SUBSTITUTE(Table1[[#This Row],[LookupGroupName]],".","")</f>
        <v>lkpTankMaintPlanPlanGroup</v>
      </c>
      <c r="D116" s="4" t="str">
        <f>MID(Table1[[#This Row],[LookupGroupName]],SEARCH(".",Table1[[#This Row],[LookupGroupName]])+1,99)</f>
        <v>PlanGroup</v>
      </c>
      <c r="E116" t="s">
        <v>121</v>
      </c>
      <c r="F116" s="6">
        <f>COUNTIF([1]!Table1[LookupTable],Table1[[#This Row],[TableName]])</f>
        <v>1</v>
      </c>
    </row>
    <row r="117" spans="2:6" x14ac:dyDescent="0.25">
      <c r="B117" t="s">
        <v>98</v>
      </c>
      <c r="C117" s="4" t="str">
        <f>"lkp"&amp;SUBSTITUTE(Table1[[#This Row],[LookupGroupName]],".","")</f>
        <v>lkpTankMaintPlanPlanGroup</v>
      </c>
      <c r="D117" s="4" t="str">
        <f>MID(Table1[[#This Row],[LookupGroupName]],SEARCH(".",Table1[[#This Row],[LookupGroupName]])+1,99)</f>
        <v>PlanGroup</v>
      </c>
      <c r="E117" t="s">
        <v>122</v>
      </c>
      <c r="F117" s="6">
        <f>COUNTIF([1]!Table1[LookupTable],Table1[[#This Row],[TableName]])</f>
        <v>1</v>
      </c>
    </row>
    <row r="118" spans="2:6" x14ac:dyDescent="0.25">
      <c r="B118" t="s">
        <v>98</v>
      </c>
      <c r="C118" s="4" t="str">
        <f>"lkp"&amp;SUBSTITUTE(Table1[[#This Row],[LookupGroupName]],".","")</f>
        <v>lkpTankMaintPlanPlanGroup</v>
      </c>
      <c r="D118" s="4" t="str">
        <f>MID(Table1[[#This Row],[LookupGroupName]],SEARCH(".",Table1[[#This Row],[LookupGroupName]])+1,99)</f>
        <v>PlanGroup</v>
      </c>
      <c r="E118" t="s">
        <v>123</v>
      </c>
      <c r="F118" s="6">
        <f>COUNTIF([1]!Table1[LookupTable],Table1[[#This Row],[TableName]])</f>
        <v>1</v>
      </c>
    </row>
    <row r="119" spans="2:6" x14ac:dyDescent="0.25">
      <c r="B119" t="s">
        <v>98</v>
      </c>
      <c r="C119" s="4" t="str">
        <f>"lkp"&amp;SUBSTITUTE(Table1[[#This Row],[LookupGroupName]],".","")</f>
        <v>lkpTankMaintPlanPlanGroup</v>
      </c>
      <c r="D119" s="4" t="str">
        <f>MID(Table1[[#This Row],[LookupGroupName]],SEARCH(".",Table1[[#This Row],[LookupGroupName]])+1,99)</f>
        <v>PlanGroup</v>
      </c>
      <c r="E119" t="s">
        <v>124</v>
      </c>
      <c r="F119" s="6">
        <f>COUNTIF([1]!Table1[LookupTable],Table1[[#This Row],[TableName]])</f>
        <v>1</v>
      </c>
    </row>
    <row r="120" spans="2:6" x14ac:dyDescent="0.25">
      <c r="B120" t="s">
        <v>98</v>
      </c>
      <c r="C120" s="4" t="str">
        <f>"lkp"&amp;SUBSTITUTE(Table1[[#This Row],[LookupGroupName]],".","")</f>
        <v>lkpTankMaintPlanPlanGroup</v>
      </c>
      <c r="D120" s="4" t="str">
        <f>MID(Table1[[#This Row],[LookupGroupName]],SEARCH(".",Table1[[#This Row],[LookupGroupName]])+1,99)</f>
        <v>PlanGroup</v>
      </c>
      <c r="E120" t="s">
        <v>125</v>
      </c>
      <c r="F120" s="6">
        <f>COUNTIF([1]!Table1[LookupTable],Table1[[#This Row],[TableName]])</f>
        <v>1</v>
      </c>
    </row>
    <row r="121" spans="2:6" x14ac:dyDescent="0.25">
      <c r="B121" t="s">
        <v>98</v>
      </c>
      <c r="C121" s="4" t="str">
        <f>"lkp"&amp;SUBSTITUTE(Table1[[#This Row],[LookupGroupName]],".","")</f>
        <v>lkpTankMaintPlanPlanGroup</v>
      </c>
      <c r="D121" s="4" t="str">
        <f>MID(Table1[[#This Row],[LookupGroupName]],SEARCH(".",Table1[[#This Row],[LookupGroupName]])+1,99)</f>
        <v>PlanGroup</v>
      </c>
      <c r="E121" t="s">
        <v>126</v>
      </c>
      <c r="F121" s="6">
        <f>COUNTIF([1]!Table1[LookupTable],Table1[[#This Row],[TableName]])</f>
        <v>1</v>
      </c>
    </row>
    <row r="122" spans="2:6" x14ac:dyDescent="0.25">
      <c r="B122" t="s">
        <v>98</v>
      </c>
      <c r="C122" s="4" t="str">
        <f>"lkp"&amp;SUBSTITUTE(Table1[[#This Row],[LookupGroupName]],".","")</f>
        <v>lkpTankMaintPlanPlanGroup</v>
      </c>
      <c r="D122" s="4" t="str">
        <f>MID(Table1[[#This Row],[LookupGroupName]],SEARCH(".",Table1[[#This Row],[LookupGroupName]])+1,99)</f>
        <v>PlanGroup</v>
      </c>
      <c r="E122" t="s">
        <v>127</v>
      </c>
      <c r="F122" s="6">
        <f>COUNTIF([1]!Table1[LookupTable],Table1[[#This Row],[TableName]])</f>
        <v>1</v>
      </c>
    </row>
    <row r="123" spans="2:6" x14ac:dyDescent="0.25">
      <c r="B123" t="s">
        <v>98</v>
      </c>
      <c r="C123" s="4" t="str">
        <f>"lkp"&amp;SUBSTITUTE(Table1[[#This Row],[LookupGroupName]],".","")</f>
        <v>lkpTankMaintPlanPlanGroup</v>
      </c>
      <c r="D123" s="4" t="str">
        <f>MID(Table1[[#This Row],[LookupGroupName]],SEARCH(".",Table1[[#This Row],[LookupGroupName]])+1,99)</f>
        <v>PlanGroup</v>
      </c>
      <c r="E123" t="s">
        <v>128</v>
      </c>
      <c r="F123" s="6">
        <f>COUNTIF([1]!Table1[LookupTable],Table1[[#This Row],[TableName]])</f>
        <v>1</v>
      </c>
    </row>
    <row r="124" spans="2:6" x14ac:dyDescent="0.25">
      <c r="B124" t="s">
        <v>98</v>
      </c>
      <c r="C124" s="4" t="str">
        <f>"lkp"&amp;SUBSTITUTE(Table1[[#This Row],[LookupGroupName]],".","")</f>
        <v>lkpTankMaintPlanPlanGroup</v>
      </c>
      <c r="D124" s="4" t="str">
        <f>MID(Table1[[#This Row],[LookupGroupName]],SEARCH(".",Table1[[#This Row],[LookupGroupName]])+1,99)</f>
        <v>PlanGroup</v>
      </c>
      <c r="E124" t="s">
        <v>129</v>
      </c>
      <c r="F124" s="6">
        <f>COUNTIF([1]!Table1[LookupTable],Table1[[#This Row],[TableName]])</f>
        <v>1</v>
      </c>
    </row>
    <row r="125" spans="2:6" x14ac:dyDescent="0.25">
      <c r="B125" t="s">
        <v>98</v>
      </c>
      <c r="C125" s="4" t="str">
        <f>"lkp"&amp;SUBSTITUTE(Table1[[#This Row],[LookupGroupName]],".","")</f>
        <v>lkpTankMaintPlanPlanGroup</v>
      </c>
      <c r="D125" s="4" t="str">
        <f>MID(Table1[[#This Row],[LookupGroupName]],SEARCH(".",Table1[[#This Row],[LookupGroupName]])+1,99)</f>
        <v>PlanGroup</v>
      </c>
      <c r="E125" t="s">
        <v>130</v>
      </c>
      <c r="F125" s="6">
        <f>COUNTIF([1]!Table1[LookupTable],Table1[[#This Row],[TableName]])</f>
        <v>1</v>
      </c>
    </row>
    <row r="126" spans="2:6" x14ac:dyDescent="0.25">
      <c r="B126" t="s">
        <v>131</v>
      </c>
      <c r="C126" s="4" t="str">
        <f>"lkp"&amp;SUBSTITUTE(Table1[[#This Row],[LookupGroupName]],".","")</f>
        <v>lkpTankMaintPlanStatus</v>
      </c>
      <c r="D126" s="4" t="str">
        <f>MID(Table1[[#This Row],[LookupGroupName]],SEARCH(".",Table1[[#This Row],[LookupGroupName]])+1,99)</f>
        <v>Status</v>
      </c>
      <c r="E126" t="s">
        <v>132</v>
      </c>
      <c r="F126" s="6">
        <f>COUNTIF([1]!Table1[LookupTable],Table1[[#This Row],[TableName]])</f>
        <v>1</v>
      </c>
    </row>
    <row r="127" spans="2:6" x14ac:dyDescent="0.25">
      <c r="B127" t="s">
        <v>131</v>
      </c>
      <c r="C127" s="4" t="str">
        <f>"lkp"&amp;SUBSTITUTE(Table1[[#This Row],[LookupGroupName]],".","")</f>
        <v>lkpTankMaintPlanStatus</v>
      </c>
      <c r="D127" s="4" t="str">
        <f>MID(Table1[[#This Row],[LookupGroupName]],SEARCH(".",Table1[[#This Row],[LookupGroupName]])+1,99)</f>
        <v>Status</v>
      </c>
      <c r="E127" t="s">
        <v>133</v>
      </c>
      <c r="F127" s="6">
        <f>COUNTIF([1]!Table1[LookupTable],Table1[[#This Row],[TableName]])</f>
        <v>1</v>
      </c>
    </row>
    <row r="128" spans="2:6" x14ac:dyDescent="0.25">
      <c r="B128" t="s">
        <v>131</v>
      </c>
      <c r="C128" s="4" t="str">
        <f>"lkp"&amp;SUBSTITUTE(Table1[[#This Row],[LookupGroupName]],".","")</f>
        <v>lkpTankMaintPlanStatus</v>
      </c>
      <c r="D128" s="4" t="str">
        <f>MID(Table1[[#This Row],[LookupGroupName]],SEARCH(".",Table1[[#This Row],[LookupGroupName]])+1,99)</f>
        <v>Status</v>
      </c>
      <c r="E128" t="s">
        <v>134</v>
      </c>
      <c r="F128" s="6">
        <f>COUNTIF([1]!Table1[LookupTable],Table1[[#This Row],[TableName]])</f>
        <v>1</v>
      </c>
    </row>
    <row r="129" spans="2:6" x14ac:dyDescent="0.25">
      <c r="B129" t="s">
        <v>131</v>
      </c>
      <c r="C129" s="4" t="str">
        <f>"lkp"&amp;SUBSTITUTE(Table1[[#This Row],[LookupGroupName]],".","")</f>
        <v>lkpTankMaintPlanStatus</v>
      </c>
      <c r="D129" s="4" t="str">
        <f>MID(Table1[[#This Row],[LookupGroupName]],SEARCH(".",Table1[[#This Row],[LookupGroupName]])+1,99)</f>
        <v>Status</v>
      </c>
      <c r="E129" t="s">
        <v>135</v>
      </c>
      <c r="F129" s="6">
        <f>COUNTIF([1]!Table1[LookupTable],Table1[[#This Row],[TableName]])</f>
        <v>1</v>
      </c>
    </row>
    <row r="130" spans="2:6" x14ac:dyDescent="0.25">
      <c r="B130" t="s">
        <v>131</v>
      </c>
      <c r="C130" s="4" t="str">
        <f>"lkp"&amp;SUBSTITUTE(Table1[[#This Row],[LookupGroupName]],".","")</f>
        <v>lkpTankMaintPlanStatus</v>
      </c>
      <c r="D130" s="4" t="str">
        <f>MID(Table1[[#This Row],[LookupGroupName]],SEARCH(".",Table1[[#This Row],[LookupGroupName]])+1,99)</f>
        <v>Status</v>
      </c>
      <c r="E130" t="s">
        <v>136</v>
      </c>
      <c r="F130" s="6">
        <f>COUNTIF([1]!Table1[LookupTable],Table1[[#This Row],[TableName]])</f>
        <v>1</v>
      </c>
    </row>
    <row r="131" spans="2:6" x14ac:dyDescent="0.25">
      <c r="B131" t="s">
        <v>131</v>
      </c>
      <c r="C131" s="4" t="str">
        <f>"lkp"&amp;SUBSTITUTE(Table1[[#This Row],[LookupGroupName]],".","")</f>
        <v>lkpTankMaintPlanStatus</v>
      </c>
      <c r="D131" s="4" t="str">
        <f>MID(Table1[[#This Row],[LookupGroupName]],SEARCH(".",Table1[[#This Row],[LookupGroupName]])+1,99)</f>
        <v>Status</v>
      </c>
      <c r="E131" t="s">
        <v>92</v>
      </c>
      <c r="F131" s="6">
        <f>COUNTIF([1]!Table1[LookupTable],Table1[[#This Row],[TableName]])</f>
        <v>1</v>
      </c>
    </row>
    <row r="132" spans="2:6" x14ac:dyDescent="0.25">
      <c r="B132" t="s">
        <v>131</v>
      </c>
      <c r="C132" s="4" t="str">
        <f>"lkp"&amp;SUBSTITUTE(Table1[[#This Row],[LookupGroupName]],".","")</f>
        <v>lkpTankMaintPlanStatus</v>
      </c>
      <c r="D132" s="4" t="str">
        <f>MID(Table1[[#This Row],[LookupGroupName]],SEARCH(".",Table1[[#This Row],[LookupGroupName]])+1,99)</f>
        <v>Status</v>
      </c>
      <c r="E132" t="s">
        <v>137</v>
      </c>
      <c r="F132" s="6">
        <f>COUNTIF([1]!Table1[LookupTable],Table1[[#This Row],[TableName]])</f>
        <v>1</v>
      </c>
    </row>
    <row r="133" spans="2:6" x14ac:dyDescent="0.25">
      <c r="B133" t="s">
        <v>131</v>
      </c>
      <c r="C133" s="4" t="str">
        <f>"lkp"&amp;SUBSTITUTE(Table1[[#This Row],[LookupGroupName]],".","")</f>
        <v>lkpTankMaintPlanStatus</v>
      </c>
      <c r="D133" s="4" t="str">
        <f>MID(Table1[[#This Row],[LookupGroupName]],SEARCH(".",Table1[[#This Row],[LookupGroupName]])+1,99)</f>
        <v>Status</v>
      </c>
      <c r="E133" t="s">
        <v>138</v>
      </c>
      <c r="F133" s="6">
        <f>COUNTIF([1]!Table1[LookupTable],Table1[[#This Row],[TableName]])</f>
        <v>1</v>
      </c>
    </row>
    <row r="134" spans="2:6" x14ac:dyDescent="0.25">
      <c r="B134" t="s">
        <v>131</v>
      </c>
      <c r="C134" s="4" t="str">
        <f>"lkp"&amp;SUBSTITUTE(Table1[[#This Row],[LookupGroupName]],".","")</f>
        <v>lkpTankMaintPlanStatus</v>
      </c>
      <c r="D134" s="4" t="str">
        <f>MID(Table1[[#This Row],[LookupGroupName]],SEARCH(".",Table1[[#This Row],[LookupGroupName]])+1,99)</f>
        <v>Status</v>
      </c>
      <c r="E134" t="s">
        <v>139</v>
      </c>
      <c r="F134" s="6">
        <f>COUNTIF([1]!Table1[LookupTable],Table1[[#This Row],[TableName]])</f>
        <v>1</v>
      </c>
    </row>
    <row r="135" spans="2:6" x14ac:dyDescent="0.25">
      <c r="B135" t="s">
        <v>131</v>
      </c>
      <c r="C135" s="4" t="str">
        <f>"lkp"&amp;SUBSTITUTE(Table1[[#This Row],[LookupGroupName]],".","")</f>
        <v>lkpTankMaintPlanStatus</v>
      </c>
      <c r="D135" s="4" t="str">
        <f>MID(Table1[[#This Row],[LookupGroupName]],SEARCH(".",Table1[[#This Row],[LookupGroupName]])+1,99)</f>
        <v>Status</v>
      </c>
      <c r="E135" t="s">
        <v>140</v>
      </c>
      <c r="F135" s="6">
        <f>COUNTIF([1]!Table1[LookupTable],Table1[[#This Row],[TableName]])</f>
        <v>1</v>
      </c>
    </row>
    <row r="136" spans="2:6" x14ac:dyDescent="0.25">
      <c r="B136" t="s">
        <v>131</v>
      </c>
      <c r="C136" s="4" t="str">
        <f>"lkp"&amp;SUBSTITUTE(Table1[[#This Row],[LookupGroupName]],".","")</f>
        <v>lkpTankMaintPlanStatus</v>
      </c>
      <c r="D136" s="4" t="str">
        <f>MID(Table1[[#This Row],[LookupGroupName]],SEARCH(".",Table1[[#This Row],[LookupGroupName]])+1,99)</f>
        <v>Status</v>
      </c>
      <c r="E136" t="s">
        <v>141</v>
      </c>
      <c r="F136" s="6">
        <f>COUNTIF([1]!Table1[LookupTable],Table1[[#This Row],[TableName]])</f>
        <v>1</v>
      </c>
    </row>
    <row r="137" spans="2:6" x14ac:dyDescent="0.25">
      <c r="B137" t="s">
        <v>131</v>
      </c>
      <c r="C137" s="4" t="str">
        <f>"lkp"&amp;SUBSTITUTE(Table1[[#This Row],[LookupGroupName]],".","")</f>
        <v>lkpTankMaintPlanStatus</v>
      </c>
      <c r="D137" s="4" t="str">
        <f>MID(Table1[[#This Row],[LookupGroupName]],SEARCH(".",Table1[[#This Row],[LookupGroupName]])+1,99)</f>
        <v>Status</v>
      </c>
      <c r="E137" t="s">
        <v>80</v>
      </c>
      <c r="F137" s="6">
        <f>COUNTIF([1]!Table1[LookupTable],Table1[[#This Row],[TableName]])</f>
        <v>1</v>
      </c>
    </row>
    <row r="138" spans="2:6" x14ac:dyDescent="0.25">
      <c r="B138" t="s">
        <v>131</v>
      </c>
      <c r="C138" s="4" t="str">
        <f>"lkp"&amp;SUBSTITUTE(Table1[[#This Row],[LookupGroupName]],".","")</f>
        <v>lkpTankMaintPlanStatus</v>
      </c>
      <c r="D138" s="4" t="str">
        <f>MID(Table1[[#This Row],[LookupGroupName]],SEARCH(".",Table1[[#This Row],[LookupGroupName]])+1,99)</f>
        <v>Status</v>
      </c>
      <c r="E138" t="s">
        <v>13</v>
      </c>
      <c r="F138" s="6">
        <f>COUNTIF([1]!Table1[LookupTable],Table1[[#This Row],[TableName]])</f>
        <v>1</v>
      </c>
    </row>
    <row r="139" spans="2:6" x14ac:dyDescent="0.25">
      <c r="B139" t="s">
        <v>131</v>
      </c>
      <c r="C139" s="4" t="str">
        <f>"lkp"&amp;SUBSTITUTE(Table1[[#This Row],[LookupGroupName]],".","")</f>
        <v>lkpTankMaintPlanStatus</v>
      </c>
      <c r="D139" s="4" t="str">
        <f>MID(Table1[[#This Row],[LookupGroupName]],SEARCH(".",Table1[[#This Row],[LookupGroupName]])+1,99)</f>
        <v>Status</v>
      </c>
      <c r="E139" t="s">
        <v>142</v>
      </c>
      <c r="F139" s="6">
        <f>COUNTIF([1]!Table1[LookupTable],Table1[[#This Row],[TableName]])</f>
        <v>1</v>
      </c>
    </row>
    <row r="140" spans="2:6" x14ac:dyDescent="0.25">
      <c r="B140" t="s">
        <v>131</v>
      </c>
      <c r="C140" s="4" t="str">
        <f>"lkp"&amp;SUBSTITUTE(Table1[[#This Row],[LookupGroupName]],".","")</f>
        <v>lkpTankMaintPlanStatus</v>
      </c>
      <c r="D140" s="4" t="str">
        <f>MID(Table1[[#This Row],[LookupGroupName]],SEARCH(".",Table1[[#This Row],[LookupGroupName]])+1,99)</f>
        <v>Status</v>
      </c>
      <c r="E140" t="s">
        <v>72</v>
      </c>
      <c r="F140" s="6">
        <f>COUNTIF([1]!Table1[LookupTable],Table1[[#This Row],[TableName]])</f>
        <v>1</v>
      </c>
    </row>
    <row r="141" spans="2:6" x14ac:dyDescent="0.25">
      <c r="B141" t="s">
        <v>143</v>
      </c>
      <c r="C141" s="4" t="str">
        <f>"lkp"&amp;SUBSTITUTE(Table1[[#This Row],[LookupGroupName]],".","")</f>
        <v>lkpRiskRankDescription</v>
      </c>
      <c r="D141" s="4" t="str">
        <f>MID(Table1[[#This Row],[LookupGroupName]],SEARCH(".",Table1[[#This Row],[LookupGroupName]])+1,99)</f>
        <v>Description</v>
      </c>
      <c r="E141" t="s">
        <v>144</v>
      </c>
      <c r="F141" s="6">
        <f>COUNTIF([1]!Table1[LookupTable],Table1[[#This Row],[TableName]])</f>
        <v>1</v>
      </c>
    </row>
    <row r="142" spans="2:6" x14ac:dyDescent="0.25">
      <c r="B142" t="s">
        <v>143</v>
      </c>
      <c r="C142" s="4" t="str">
        <f>"lkp"&amp;SUBSTITUTE(Table1[[#This Row],[LookupGroupName]],".","")</f>
        <v>lkpRiskRankDescription</v>
      </c>
      <c r="D142" s="4" t="str">
        <f>MID(Table1[[#This Row],[LookupGroupName]],SEARCH(".",Table1[[#This Row],[LookupGroupName]])+1,99)</f>
        <v>Description</v>
      </c>
      <c r="E142" t="s">
        <v>145</v>
      </c>
      <c r="F142" s="6">
        <f>COUNTIF([1]!Table1[LookupTable],Table1[[#This Row],[TableName]])</f>
        <v>1</v>
      </c>
    </row>
    <row r="143" spans="2:6" x14ac:dyDescent="0.25">
      <c r="B143" t="s">
        <v>143</v>
      </c>
      <c r="C143" s="4" t="str">
        <f>"lkp"&amp;SUBSTITUTE(Table1[[#This Row],[LookupGroupName]],".","")</f>
        <v>lkpRiskRankDescription</v>
      </c>
      <c r="D143" s="4" t="str">
        <f>MID(Table1[[#This Row],[LookupGroupName]],SEARCH(".",Table1[[#This Row],[LookupGroupName]])+1,99)</f>
        <v>Description</v>
      </c>
      <c r="E143" t="s">
        <v>146</v>
      </c>
      <c r="F143" s="6">
        <f>COUNTIF([1]!Table1[LookupTable],Table1[[#This Row],[TableName]])</f>
        <v>1</v>
      </c>
    </row>
    <row r="144" spans="2:6" x14ac:dyDescent="0.25">
      <c r="B144" t="s">
        <v>143</v>
      </c>
      <c r="C144" s="4" t="str">
        <f>"lkp"&amp;SUBSTITUTE(Table1[[#This Row],[LookupGroupName]],".","")</f>
        <v>lkpRiskRankDescription</v>
      </c>
      <c r="D144" s="4" t="str">
        <f>MID(Table1[[#This Row],[LookupGroupName]],SEARCH(".",Table1[[#This Row],[LookupGroupName]])+1,99)</f>
        <v>Description</v>
      </c>
      <c r="E144" t="s">
        <v>147</v>
      </c>
      <c r="F144" s="6">
        <f>COUNTIF([1]!Table1[LookupTable],Table1[[#This Row],[TableName]])</f>
        <v>1</v>
      </c>
    </row>
    <row r="145" spans="2:6" x14ac:dyDescent="0.25">
      <c r="B145" t="s">
        <v>143</v>
      </c>
      <c r="C145" s="4" t="str">
        <f>"lkp"&amp;SUBSTITUTE(Table1[[#This Row],[LookupGroupName]],".","")</f>
        <v>lkpRiskRankDescription</v>
      </c>
      <c r="D145" s="4" t="str">
        <f>MID(Table1[[#This Row],[LookupGroupName]],SEARCH(".",Table1[[#This Row],[LookupGroupName]])+1,99)</f>
        <v>Description</v>
      </c>
      <c r="E145" t="s">
        <v>148</v>
      </c>
      <c r="F145" s="6">
        <f>COUNTIF([1]!Table1[LookupTable],Table1[[#This Row],[TableName]])</f>
        <v>1</v>
      </c>
    </row>
    <row r="146" spans="2:6" x14ac:dyDescent="0.25">
      <c r="B146" t="s">
        <v>143</v>
      </c>
      <c r="C146" s="4" t="str">
        <f>"lkp"&amp;SUBSTITUTE(Table1[[#This Row],[LookupGroupName]],".","")</f>
        <v>lkpRiskRankDescription</v>
      </c>
      <c r="D146" s="4" t="str">
        <f>MID(Table1[[#This Row],[LookupGroupName]],SEARCH(".",Table1[[#This Row],[LookupGroupName]])+1,99)</f>
        <v>Description</v>
      </c>
      <c r="E146" t="s">
        <v>149</v>
      </c>
      <c r="F146" s="6">
        <f>COUNTIF([1]!Table1[LookupTable],Table1[[#This Row],[TableName]])</f>
        <v>1</v>
      </c>
    </row>
    <row r="147" spans="2:6" x14ac:dyDescent="0.25">
      <c r="B147" t="s">
        <v>150</v>
      </c>
      <c r="C147" s="4" t="str">
        <f>"lkp"&amp;SUBSTITUTE(Table1[[#This Row],[LookupGroupName]],".","")</f>
        <v>lkpServiceProduct</v>
      </c>
      <c r="D147" s="4" t="str">
        <f>MID(Table1[[#This Row],[LookupGroupName]],SEARCH(".",Table1[[#This Row],[LookupGroupName]])+1,99)</f>
        <v>Product</v>
      </c>
      <c r="E147" t="s">
        <v>151</v>
      </c>
      <c r="F147" s="6">
        <f>COUNTIF([1]!Table1[LookupTable],Table1[[#This Row],[TableName]])</f>
        <v>1</v>
      </c>
    </row>
    <row r="148" spans="2:6" x14ac:dyDescent="0.25">
      <c r="B148" t="s">
        <v>150</v>
      </c>
      <c r="C148" s="4" t="str">
        <f>"lkp"&amp;SUBSTITUTE(Table1[[#This Row],[LookupGroupName]],".","")</f>
        <v>lkpServiceProduct</v>
      </c>
      <c r="D148" s="4" t="str">
        <f>MID(Table1[[#This Row],[LookupGroupName]],SEARCH(".",Table1[[#This Row],[LookupGroupName]])+1,99)</f>
        <v>Product</v>
      </c>
      <c r="E148" t="s">
        <v>152</v>
      </c>
      <c r="F148" s="6">
        <f>COUNTIF([1]!Table1[LookupTable],Table1[[#This Row],[TableName]])</f>
        <v>1</v>
      </c>
    </row>
    <row r="149" spans="2:6" x14ac:dyDescent="0.25">
      <c r="B149" t="s">
        <v>150</v>
      </c>
      <c r="C149" s="4" t="str">
        <f>"lkp"&amp;SUBSTITUTE(Table1[[#This Row],[LookupGroupName]],".","")</f>
        <v>lkpServiceProduct</v>
      </c>
      <c r="D149" s="4" t="str">
        <f>MID(Table1[[#This Row],[LookupGroupName]],SEARCH(".",Table1[[#This Row],[LookupGroupName]])+1,99)</f>
        <v>Product</v>
      </c>
      <c r="E149" t="s">
        <v>153</v>
      </c>
      <c r="F149" s="6">
        <f>COUNTIF([1]!Table1[LookupTable],Table1[[#This Row],[TableName]])</f>
        <v>1</v>
      </c>
    </row>
    <row r="150" spans="2:6" x14ac:dyDescent="0.25">
      <c r="B150" t="s">
        <v>154</v>
      </c>
      <c r="C150" s="4" t="str">
        <f>"lkp"&amp;SUBSTITUTE(Table1[[#This Row],[LookupGroupName]],".","")</f>
        <v>lkpServiceProductGroup</v>
      </c>
      <c r="D150" s="4" t="str">
        <f>MID(Table1[[#This Row],[LookupGroupName]],SEARCH(".",Table1[[#This Row],[LookupGroupName]])+1,99)</f>
        <v>ProductGroup</v>
      </c>
      <c r="E150" t="s">
        <v>155</v>
      </c>
      <c r="F150" s="6">
        <f>COUNTIF([1]!Table1[LookupTable],Table1[[#This Row],[TableName]])</f>
        <v>0</v>
      </c>
    </row>
    <row r="151" spans="2:6" x14ac:dyDescent="0.25">
      <c r="B151" t="s">
        <v>154</v>
      </c>
      <c r="C151" s="4" t="str">
        <f>"lkp"&amp;SUBSTITUTE(Table1[[#This Row],[LookupGroupName]],".","")</f>
        <v>lkpServiceProductGroup</v>
      </c>
      <c r="D151" s="4" t="str">
        <f>MID(Table1[[#This Row],[LookupGroupName]],SEARCH(".",Table1[[#This Row],[LookupGroupName]])+1,99)</f>
        <v>ProductGroup</v>
      </c>
      <c r="E151" t="s">
        <v>156</v>
      </c>
      <c r="F151" s="6">
        <f>COUNTIF([1]!Table1[LookupTable],Table1[[#This Row],[TableName]])</f>
        <v>0</v>
      </c>
    </row>
    <row r="152" spans="2:6" x14ac:dyDescent="0.25">
      <c r="B152" t="s">
        <v>154</v>
      </c>
      <c r="C152" s="4" t="str">
        <f>"lkp"&amp;SUBSTITUTE(Table1[[#This Row],[LookupGroupName]],".","")</f>
        <v>lkpServiceProductGroup</v>
      </c>
      <c r="D152" s="4" t="str">
        <f>MID(Table1[[#This Row],[LookupGroupName]],SEARCH(".",Table1[[#This Row],[LookupGroupName]])+1,99)</f>
        <v>ProductGroup</v>
      </c>
      <c r="E152" t="s">
        <v>157</v>
      </c>
      <c r="F152" s="6">
        <f>COUNTIF([1]!Table1[LookupTable],Table1[[#This Row],[TableName]])</f>
        <v>0</v>
      </c>
    </row>
    <row r="153" spans="2:6" x14ac:dyDescent="0.25">
      <c r="B153" t="s">
        <v>158</v>
      </c>
      <c r="C153" s="4" t="str">
        <f>"lkp"&amp;SUBSTITUTE(Table1[[#This Row],[LookupGroupName]],".","")</f>
        <v>lkpServiceStatus</v>
      </c>
      <c r="D153" s="4" t="str">
        <f>MID(Table1[[#This Row],[LookupGroupName]],SEARCH(".",Table1[[#This Row],[LookupGroupName]])+1,99)</f>
        <v>Status</v>
      </c>
      <c r="E153" t="s">
        <v>159</v>
      </c>
      <c r="F153" s="6">
        <f>COUNTIF([1]!Table1[LookupTable],Table1[[#This Row],[TableName]])</f>
        <v>1</v>
      </c>
    </row>
    <row r="154" spans="2:6" x14ac:dyDescent="0.25">
      <c r="B154" t="s">
        <v>158</v>
      </c>
      <c r="C154" s="4" t="str">
        <f>"lkp"&amp;SUBSTITUTE(Table1[[#This Row],[LookupGroupName]],".","")</f>
        <v>lkpServiceStatus</v>
      </c>
      <c r="D154" s="4" t="str">
        <f>MID(Table1[[#This Row],[LookupGroupName]],SEARCH(".",Table1[[#This Row],[LookupGroupName]])+1,99)</f>
        <v>Status</v>
      </c>
      <c r="E154" t="s">
        <v>160</v>
      </c>
      <c r="F154" s="6">
        <f>COUNTIF([1]!Table1[LookupTable],Table1[[#This Row],[TableName]])</f>
        <v>1</v>
      </c>
    </row>
    <row r="155" spans="2:6" x14ac:dyDescent="0.25">
      <c r="B155" t="s">
        <v>158</v>
      </c>
      <c r="C155" s="4" t="str">
        <f>"lkp"&amp;SUBSTITUTE(Table1[[#This Row],[LookupGroupName]],".","")</f>
        <v>lkpServiceStatus</v>
      </c>
      <c r="D155" s="4" t="str">
        <f>MID(Table1[[#This Row],[LookupGroupName]],SEARCH(".",Table1[[#This Row],[LookupGroupName]])+1,99)</f>
        <v>Status</v>
      </c>
      <c r="E155" t="s">
        <v>161</v>
      </c>
      <c r="F155" s="6">
        <f>COUNTIF([1]!Table1[LookupTable],Table1[[#This Row],[TableName]])</f>
        <v>1</v>
      </c>
    </row>
    <row r="156" spans="2:6" x14ac:dyDescent="0.25">
      <c r="B156" t="s">
        <v>158</v>
      </c>
      <c r="C156" s="4" t="str">
        <f>"lkp"&amp;SUBSTITUTE(Table1[[#This Row],[LookupGroupName]],".","")</f>
        <v>lkpServiceStatus</v>
      </c>
      <c r="D156" s="4" t="str">
        <f>MID(Table1[[#This Row],[LookupGroupName]],SEARCH(".",Table1[[#This Row],[LookupGroupName]])+1,99)</f>
        <v>Status</v>
      </c>
      <c r="E156" t="s">
        <v>162</v>
      </c>
      <c r="F156" s="6">
        <f>COUNTIF([1]!Table1[LookupTable],Table1[[#This Row],[TableName]])</f>
        <v>1</v>
      </c>
    </row>
    <row r="157" spans="2:6" x14ac:dyDescent="0.25">
      <c r="B157" t="s">
        <v>158</v>
      </c>
      <c r="C157" s="4" t="str">
        <f>"lkp"&amp;SUBSTITUTE(Table1[[#This Row],[LookupGroupName]],".","")</f>
        <v>lkpServiceStatus</v>
      </c>
      <c r="D157" s="4" t="str">
        <f>MID(Table1[[#This Row],[LookupGroupName]],SEARCH(".",Table1[[#This Row],[LookupGroupName]])+1,99)</f>
        <v>Status</v>
      </c>
      <c r="E157" t="s">
        <v>163</v>
      </c>
      <c r="F157" s="6">
        <f>COUNTIF([1]!Table1[LookupTable],Table1[[#This Row],[TableName]])</f>
        <v>1</v>
      </c>
    </row>
    <row r="158" spans="2:6" x14ac:dyDescent="0.25">
      <c r="B158" t="s">
        <v>158</v>
      </c>
      <c r="C158" s="4" t="str">
        <f>"lkp"&amp;SUBSTITUTE(Table1[[#This Row],[LookupGroupName]],".","")</f>
        <v>lkpServiceStatus</v>
      </c>
      <c r="D158" s="4" t="str">
        <f>MID(Table1[[#This Row],[LookupGroupName]],SEARCH(".",Table1[[#This Row],[LookupGroupName]])+1,99)</f>
        <v>Status</v>
      </c>
      <c r="E158" t="s">
        <v>13</v>
      </c>
      <c r="F158" s="6">
        <f>COUNTIF([1]!Table1[LookupTable],Table1[[#This Row],[TableName]])</f>
        <v>1</v>
      </c>
    </row>
    <row r="159" spans="2:6" x14ac:dyDescent="0.25">
      <c r="B159" t="s">
        <v>164</v>
      </c>
      <c r="C159" s="4" t="str">
        <f>"lkp"&amp;SUBSTITUTE(Table1[[#This Row],[LookupGroupName]],".","")</f>
        <v>lkpTankVentsVentTypes</v>
      </c>
      <c r="D159" s="4" t="str">
        <f>MID(Table1[[#This Row],[LookupGroupName]],SEARCH(".",Table1[[#This Row],[LookupGroupName]])+1,99)</f>
        <v>VentTypes</v>
      </c>
      <c r="E159" t="s">
        <v>165</v>
      </c>
      <c r="F159" s="6">
        <f>COUNTIF([1]!Table1[LookupTable],Table1[[#This Row],[TableName]])</f>
        <v>1</v>
      </c>
    </row>
    <row r="160" spans="2:6" x14ac:dyDescent="0.25">
      <c r="B160" t="s">
        <v>164</v>
      </c>
      <c r="C160" s="4" t="str">
        <f>"lkp"&amp;SUBSTITUTE(Table1[[#This Row],[LookupGroupName]],".","")</f>
        <v>lkpTankVentsVentTypes</v>
      </c>
      <c r="D160" s="4" t="str">
        <f>MID(Table1[[#This Row],[LookupGroupName]],SEARCH(".",Table1[[#This Row],[LookupGroupName]])+1,99)</f>
        <v>VentTypes</v>
      </c>
      <c r="E160" t="s">
        <v>166</v>
      </c>
      <c r="F160" s="6">
        <f>COUNTIF([1]!Table1[LookupTable],Table1[[#This Row],[TableName]])</f>
        <v>1</v>
      </c>
    </row>
    <row r="161" spans="2:6" x14ac:dyDescent="0.25">
      <c r="B161" t="s">
        <v>164</v>
      </c>
      <c r="C161" s="4" t="str">
        <f>"lkp"&amp;SUBSTITUTE(Table1[[#This Row],[LookupGroupName]],".","")</f>
        <v>lkpTankVentsVentTypes</v>
      </c>
      <c r="D161" s="4" t="str">
        <f>MID(Table1[[#This Row],[LookupGroupName]],SEARCH(".",Table1[[#This Row],[LookupGroupName]])+1,99)</f>
        <v>VentTypes</v>
      </c>
      <c r="E161" t="s">
        <v>167</v>
      </c>
      <c r="F161" s="6">
        <f>COUNTIF([1]!Table1[LookupTable],Table1[[#This Row],[TableName]])</f>
        <v>1</v>
      </c>
    </row>
    <row r="162" spans="2:6" x14ac:dyDescent="0.25">
      <c r="B162" t="s">
        <v>164</v>
      </c>
      <c r="C162" s="4" t="str">
        <f>"lkp"&amp;SUBSTITUTE(Table1[[#This Row],[LookupGroupName]],".","")</f>
        <v>lkpTankVentsVentTypes</v>
      </c>
      <c r="D162" s="4" t="str">
        <f>MID(Table1[[#This Row],[LookupGroupName]],SEARCH(".",Table1[[#This Row],[LookupGroupName]])+1,99)</f>
        <v>VentTypes</v>
      </c>
      <c r="E162" t="s">
        <v>168</v>
      </c>
      <c r="F162" s="6">
        <f>COUNTIF([1]!Table1[LookupTable],Table1[[#This Row],[TableName]])</f>
        <v>1</v>
      </c>
    </row>
    <row r="163" spans="2:6" x14ac:dyDescent="0.25">
      <c r="B163" t="s">
        <v>164</v>
      </c>
      <c r="C163" s="4" t="str">
        <f>"lkp"&amp;SUBSTITUTE(Table1[[#This Row],[LookupGroupName]],".","")</f>
        <v>lkpTankVentsVentTypes</v>
      </c>
      <c r="D163" s="4" t="str">
        <f>MID(Table1[[#This Row],[LookupGroupName]],SEARCH(".",Table1[[#This Row],[LookupGroupName]])+1,99)</f>
        <v>VentTypes</v>
      </c>
      <c r="E163" t="s">
        <v>169</v>
      </c>
      <c r="F163" s="6">
        <f>COUNTIF([1]!Table1[LookupTable],Table1[[#This Row],[TableName]])</f>
        <v>1</v>
      </c>
    </row>
    <row r="164" spans="2:6" x14ac:dyDescent="0.25">
      <c r="B164" t="s">
        <v>164</v>
      </c>
      <c r="C164" s="4" t="str">
        <f>"lkp"&amp;SUBSTITUTE(Table1[[#This Row],[LookupGroupName]],".","")</f>
        <v>lkpTankVentsVentTypes</v>
      </c>
      <c r="D164" s="4" t="str">
        <f>MID(Table1[[#This Row],[LookupGroupName]],SEARCH(".",Table1[[#This Row],[LookupGroupName]])+1,99)</f>
        <v>VentTypes</v>
      </c>
      <c r="E164" t="s">
        <v>170</v>
      </c>
      <c r="F164" s="6">
        <f>COUNTIF([1]!Table1[LookupTable],Table1[[#This Row],[TableName]])</f>
        <v>1</v>
      </c>
    </row>
    <row r="165" spans="2:6" x14ac:dyDescent="0.25">
      <c r="B165" t="s">
        <v>164</v>
      </c>
      <c r="C165" s="4" t="str">
        <f>"lkp"&amp;SUBSTITUTE(Table1[[#This Row],[LookupGroupName]],".","")</f>
        <v>lkpTankVentsVentTypes</v>
      </c>
      <c r="D165" s="4" t="str">
        <f>MID(Table1[[#This Row],[LookupGroupName]],SEARCH(".",Table1[[#This Row],[LookupGroupName]])+1,99)</f>
        <v>VentTypes</v>
      </c>
      <c r="E165" t="s">
        <v>171</v>
      </c>
      <c r="F165" s="6">
        <f>COUNTIF([1]!Table1[LookupTable],Table1[[#This Row],[TableName]])</f>
        <v>1</v>
      </c>
    </row>
  </sheetData>
  <phoneticPr fontId="2" type="noConversion"/>
  <conditionalFormatting sqref="F2:F165">
    <cfRule type="cellIs" dxfId="1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metaSchemaLookups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2021-12-24T07:41:54Z</dcterms:created>
  <dcterms:modified xsi:type="dcterms:W3CDTF">2021-12-24T08:23:12Z</dcterms:modified>
</cp:coreProperties>
</file>