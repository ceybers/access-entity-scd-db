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xvba-access-test\"/>
    </mc:Choice>
  </mc:AlternateContent>
  <xr:revisionPtr revIDLastSave="0" documentId="13_ncr:1_{8BF52C5D-FC78-4F14-B04A-6BF6D42D851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etaSchema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63" i="1" l="1"/>
  <c r="O62" i="1"/>
  <c r="O61" i="1"/>
  <c r="O60" i="1"/>
  <c r="O56" i="1"/>
  <c r="O55" i="1"/>
  <c r="O49" i="1"/>
  <c r="O38" i="1"/>
  <c r="O37" i="1"/>
  <c r="E59" i="1"/>
  <c r="C59" i="1"/>
  <c r="O59" i="1"/>
  <c r="O2" i="1"/>
  <c r="O3" i="1"/>
  <c r="O4" i="1"/>
  <c r="O5" i="1"/>
  <c r="O7" i="1"/>
  <c r="O6" i="1"/>
  <c r="O24" i="1"/>
  <c r="O21" i="1"/>
  <c r="O23" i="1"/>
  <c r="O25" i="1"/>
  <c r="O22" i="1"/>
  <c r="O28" i="1"/>
  <c r="O26" i="1"/>
  <c r="O27" i="1"/>
  <c r="O32" i="1"/>
  <c r="O34" i="1"/>
  <c r="O33" i="1"/>
  <c r="O36" i="1"/>
  <c r="O43" i="1"/>
  <c r="O44" i="1"/>
  <c r="O45" i="1"/>
  <c r="O69" i="1"/>
  <c r="O73" i="1"/>
  <c r="O72" i="1"/>
  <c r="O71" i="1"/>
  <c r="O74" i="1"/>
  <c r="O77" i="1"/>
  <c r="O76" i="1"/>
  <c r="O90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39" i="1"/>
  <c r="O40" i="1"/>
  <c r="O41" i="1"/>
  <c r="O42" i="1"/>
  <c r="O29" i="1"/>
  <c r="O30" i="1"/>
  <c r="O31" i="1"/>
  <c r="O53" i="1"/>
  <c r="O54" i="1"/>
  <c r="O64" i="1"/>
  <c r="O65" i="1"/>
  <c r="O66" i="1"/>
  <c r="O67" i="1"/>
  <c r="O68" i="1"/>
  <c r="O78" i="1"/>
  <c r="O79" i="1"/>
  <c r="O80" i="1"/>
  <c r="O81" i="1"/>
  <c r="O82" i="1"/>
  <c r="O83" i="1"/>
  <c r="O84" i="1"/>
  <c r="O91" i="1"/>
  <c r="O92" i="1"/>
  <c r="O93" i="1"/>
  <c r="O94" i="1"/>
  <c r="O95" i="1"/>
  <c r="O96" i="1"/>
  <c r="O98" i="1"/>
  <c r="O99" i="1"/>
  <c r="O100" i="1"/>
  <c r="C100" i="1"/>
  <c r="E100" i="1"/>
  <c r="C99" i="1"/>
  <c r="E99" i="1"/>
  <c r="C98" i="1"/>
  <c r="E98" i="1"/>
  <c r="C97" i="1"/>
  <c r="E97" i="1"/>
  <c r="C96" i="1"/>
  <c r="E96" i="1"/>
  <c r="C95" i="1"/>
  <c r="E95" i="1"/>
  <c r="C94" i="1"/>
  <c r="E94" i="1"/>
  <c r="C93" i="1"/>
  <c r="E93" i="1"/>
  <c r="C92" i="1"/>
  <c r="E92" i="1"/>
  <c r="C91" i="1"/>
  <c r="E91" i="1"/>
  <c r="C84" i="1"/>
  <c r="E84" i="1"/>
  <c r="C83" i="1"/>
  <c r="E83" i="1"/>
  <c r="C82" i="1"/>
  <c r="E82" i="1"/>
  <c r="C81" i="1"/>
  <c r="E81" i="1"/>
  <c r="C80" i="1"/>
  <c r="E80" i="1"/>
  <c r="C79" i="1"/>
  <c r="E79" i="1"/>
  <c r="C78" i="1"/>
  <c r="E78" i="1"/>
  <c r="C68" i="1"/>
  <c r="E68" i="1"/>
  <c r="C67" i="1"/>
  <c r="E67" i="1"/>
  <c r="C66" i="1"/>
  <c r="E66" i="1"/>
  <c r="C65" i="1"/>
  <c r="E65" i="1"/>
  <c r="C64" i="1"/>
  <c r="E64" i="1"/>
  <c r="C57" i="1"/>
  <c r="E57" i="1"/>
  <c r="C56" i="1"/>
  <c r="E56" i="1"/>
  <c r="C55" i="1"/>
  <c r="E55" i="1"/>
  <c r="C54" i="1"/>
  <c r="E54" i="1"/>
  <c r="C53" i="1"/>
  <c r="E53" i="1"/>
  <c r="C52" i="1"/>
  <c r="E52" i="1"/>
  <c r="C51" i="1"/>
  <c r="E51" i="1"/>
  <c r="C50" i="1"/>
  <c r="E50" i="1"/>
  <c r="C49" i="1"/>
  <c r="E49" i="1"/>
  <c r="C48" i="1"/>
  <c r="E48" i="1"/>
  <c r="C47" i="1"/>
  <c r="E47" i="1"/>
  <c r="C46" i="1"/>
  <c r="E46" i="1"/>
  <c r="C31" i="1"/>
  <c r="E31" i="1"/>
  <c r="C30" i="1"/>
  <c r="E30" i="1"/>
  <c r="C29" i="1"/>
  <c r="E29" i="1"/>
  <c r="C42" i="1"/>
  <c r="E42" i="1"/>
  <c r="C41" i="1"/>
  <c r="E41" i="1"/>
  <c r="C40" i="1"/>
  <c r="E40" i="1"/>
  <c r="C39" i="1"/>
  <c r="E39" i="1"/>
  <c r="C20" i="1"/>
  <c r="E20" i="1"/>
  <c r="C19" i="1"/>
  <c r="E19" i="1"/>
  <c r="C18" i="1"/>
  <c r="E18" i="1"/>
  <c r="C17" i="1"/>
  <c r="E17" i="1"/>
  <c r="C16" i="1"/>
  <c r="E16" i="1"/>
  <c r="C15" i="1"/>
  <c r="E15" i="1"/>
  <c r="C14" i="1"/>
  <c r="E14" i="1"/>
  <c r="C13" i="1"/>
  <c r="E13" i="1"/>
  <c r="C12" i="1"/>
  <c r="E12" i="1"/>
  <c r="C11" i="1"/>
  <c r="E11" i="1"/>
  <c r="C10" i="1"/>
  <c r="E10" i="1"/>
  <c r="C9" i="1"/>
  <c r="E9" i="1"/>
  <c r="C8" i="1"/>
  <c r="E8" i="1"/>
  <c r="E2" i="1"/>
  <c r="E3" i="1"/>
  <c r="E4" i="1"/>
  <c r="E5" i="1"/>
  <c r="E7" i="1"/>
  <c r="E6" i="1"/>
  <c r="E24" i="1"/>
  <c r="E21" i="1"/>
  <c r="E23" i="1"/>
  <c r="E25" i="1"/>
  <c r="E22" i="1"/>
  <c r="E28" i="1"/>
  <c r="E26" i="1"/>
  <c r="E27" i="1"/>
  <c r="E32" i="1"/>
  <c r="E34" i="1"/>
  <c r="E33" i="1"/>
  <c r="E38" i="1"/>
  <c r="E36" i="1"/>
  <c r="E37" i="1"/>
  <c r="E35" i="1"/>
  <c r="E43" i="1"/>
  <c r="E44" i="1"/>
  <c r="E45" i="1"/>
  <c r="E63" i="1"/>
  <c r="E62" i="1"/>
  <c r="E58" i="1"/>
  <c r="E61" i="1"/>
  <c r="E60" i="1"/>
  <c r="E70" i="1"/>
  <c r="E69" i="1"/>
  <c r="E73" i="1"/>
  <c r="E72" i="1"/>
  <c r="E71" i="1"/>
  <c r="E74" i="1"/>
  <c r="E77" i="1"/>
  <c r="E76" i="1"/>
  <c r="E75" i="1"/>
  <c r="E90" i="1"/>
  <c r="E86" i="1"/>
  <c r="E88" i="1"/>
  <c r="E89" i="1"/>
  <c r="E85" i="1"/>
  <c r="E87" i="1"/>
  <c r="C3" i="1"/>
  <c r="C4" i="1"/>
  <c r="C5" i="1"/>
  <c r="C7" i="1"/>
  <c r="C6" i="1"/>
  <c r="C24" i="1"/>
  <c r="C21" i="1"/>
  <c r="C23" i="1"/>
  <c r="C25" i="1"/>
  <c r="C22" i="1"/>
  <c r="C28" i="1"/>
  <c r="C26" i="1"/>
  <c r="C27" i="1"/>
  <c r="C32" i="1"/>
  <c r="C34" i="1"/>
  <c r="C33" i="1"/>
  <c r="C38" i="1"/>
  <c r="C36" i="1"/>
  <c r="C37" i="1"/>
  <c r="C35" i="1"/>
  <c r="C43" i="1"/>
  <c r="C44" i="1"/>
  <c r="C45" i="1"/>
  <c r="C63" i="1"/>
  <c r="C62" i="1"/>
  <c r="C58" i="1"/>
  <c r="C61" i="1"/>
  <c r="C60" i="1"/>
  <c r="C70" i="1"/>
  <c r="C69" i="1"/>
  <c r="C73" i="1"/>
  <c r="C72" i="1"/>
  <c r="C71" i="1"/>
  <c r="C74" i="1"/>
  <c r="C77" i="1"/>
  <c r="C76" i="1"/>
  <c r="C75" i="1"/>
  <c r="C90" i="1"/>
  <c r="C86" i="1"/>
  <c r="C88" i="1"/>
  <c r="C89" i="1"/>
  <c r="C85" i="1"/>
  <c r="C87" i="1"/>
  <c r="C2" i="1"/>
  <c r="O86" i="1"/>
  <c r="O97" i="1" l="1"/>
  <c r="O52" i="1"/>
  <c r="O48" i="1"/>
  <c r="O85" i="1"/>
  <c r="O58" i="1"/>
  <c r="O51" i="1"/>
  <c r="O47" i="1"/>
  <c r="O89" i="1"/>
  <c r="O75" i="1"/>
  <c r="O70" i="1"/>
  <c r="O50" i="1"/>
  <c r="O46" i="1"/>
  <c r="O88" i="1"/>
  <c r="O35" i="1"/>
  <c r="O57" i="1"/>
  <c r="O87" i="1"/>
</calcChain>
</file>

<file path=xl/sharedStrings.xml><?xml version="1.0" encoding="utf-8"?>
<sst xmlns="http://schemas.openxmlformats.org/spreadsheetml/2006/main" count="562" uniqueCount="168">
  <si>
    <t>ID</t>
  </si>
  <si>
    <t>TableName</t>
  </si>
  <si>
    <t>FieldName</t>
  </si>
  <si>
    <t>FieldType</t>
  </si>
  <si>
    <t>Caption</t>
  </si>
  <si>
    <t>LookupTable</t>
  </si>
  <si>
    <t>DefaultValue</t>
  </si>
  <si>
    <t>Suffix</t>
  </si>
  <si>
    <t>Width</t>
  </si>
  <si>
    <t>Height</t>
  </si>
  <si>
    <t>Format</t>
  </si>
  <si>
    <t>TextAlign</t>
  </si>
  <si>
    <t>Short Text</t>
  </si>
  <si>
    <t/>
  </si>
  <si>
    <t>ESD Audible</t>
  </si>
  <si>
    <t>Hi Audible</t>
  </si>
  <si>
    <t>HiHi Soft</t>
  </si>
  <si>
    <t>Hi Soft</t>
  </si>
  <si>
    <t>LoLo Soft</t>
  </si>
  <si>
    <t>Lo Soft</t>
  </si>
  <si>
    <t>Construction Code</t>
  </si>
  <si>
    <t>Date/Time</t>
  </si>
  <si>
    <t>Date Erected</t>
  </si>
  <si>
    <t>Job Number</t>
  </si>
  <si>
    <t>Joint Method</t>
  </si>
  <si>
    <t>Manufacturer</t>
  </si>
  <si>
    <t>Altitude</t>
  </si>
  <si>
    <t>Double</t>
  </si>
  <si>
    <t>meters</t>
  </si>
  <si>
    <t># ##0</t>
  </si>
  <si>
    <t>Latitude</t>
  </si>
  <si>
    <t>+00.000000;-00.000000</t>
  </si>
  <si>
    <t>Longitude</t>
  </si>
  <si>
    <t>Decommissioned</t>
  </si>
  <si>
    <t>Scrapped</t>
  </si>
  <si>
    <t>Number</t>
  </si>
  <si>
    <t>Diameter</t>
  </si>
  <si>
    <t>0.000</t>
  </si>
  <si>
    <t>Volume</t>
  </si>
  <si>
    <t>cubic meters</t>
  </si>
  <si>
    <t>#,##0</t>
  </si>
  <si>
    <t>Actual End</t>
  </si>
  <si>
    <t>Actual Start</t>
  </si>
  <si>
    <t>Group</t>
  </si>
  <si>
    <t>Plan End</t>
  </si>
  <si>
    <t>Plan Start</t>
  </si>
  <si>
    <t>lkpRiskRankDescription</t>
  </si>
  <si>
    <t>Asset</t>
  </si>
  <si>
    <t>Equipment</t>
  </si>
  <si>
    <t>FLOC</t>
  </si>
  <si>
    <t>MRN</t>
  </si>
  <si>
    <t>Operational Capacity</t>
  </si>
  <si>
    <t>Product</t>
  </si>
  <si>
    <t>Service</t>
  </si>
  <si>
    <t>Compartmented</t>
  </si>
  <si>
    <t>Elevation</t>
  </si>
  <si>
    <t>lkpTankDesignElevation</t>
  </si>
  <si>
    <t>FloatingRoof</t>
  </si>
  <si>
    <t>lkpTankDesignFloatingRoof</t>
  </si>
  <si>
    <t>lkpTankDesignHorizontalEnds</t>
  </si>
  <si>
    <t>Orientation</t>
  </si>
  <si>
    <t>lkpTankDesignOrientation</t>
  </si>
  <si>
    <t>lkpTankDesignRoofType</t>
  </si>
  <si>
    <t>AlarmSetPoints</t>
  </si>
  <si>
    <t>Construction</t>
  </si>
  <si>
    <t>Coordinates</t>
  </si>
  <si>
    <t>Decommission</t>
  </si>
  <si>
    <t>Deferral</t>
  </si>
  <si>
    <t>Dimensions</t>
  </si>
  <si>
    <t>MaintPlan</t>
  </si>
  <si>
    <t>RiskRank</t>
  </si>
  <si>
    <t>SAP</t>
  </si>
  <si>
    <t>TankDesign</t>
  </si>
  <si>
    <t>Deferral End Date</t>
  </si>
  <si>
    <t>Deferral Required</t>
  </si>
  <si>
    <t>Deferral Start Date</t>
  </si>
  <si>
    <t>Deferral State</t>
  </si>
  <si>
    <t>Risk Rank Description</t>
  </si>
  <si>
    <t>Risk Ranking Value</t>
  </si>
  <si>
    <t>Floating  Roof</t>
  </si>
  <si>
    <t>Horizontal Ends</t>
  </si>
  <si>
    <t>MOC Number</t>
  </si>
  <si>
    <t>ASTI</t>
  </si>
  <si>
    <t>Roof Type</t>
  </si>
  <si>
    <t>Receipt Method</t>
  </si>
  <si>
    <t>Design Pressure</t>
  </si>
  <si>
    <t>Design Temperature</t>
  </si>
  <si>
    <t>Maximum Capacity</t>
  </si>
  <si>
    <t>Fill Flow</t>
  </si>
  <si>
    <t>Empty Flow</t>
  </si>
  <si>
    <t>Floor Type</t>
  </si>
  <si>
    <t>Cathodic Protection</t>
  </si>
  <si>
    <t>Constructgion Standard</t>
  </si>
  <si>
    <t>Groundwater Rating</t>
  </si>
  <si>
    <t>Corrosivity Rating</t>
  </si>
  <si>
    <t>Priority Rating</t>
  </si>
  <si>
    <t>DepotAdditional</t>
  </si>
  <si>
    <t>GeoNameID</t>
  </si>
  <si>
    <t>Temperature Minimum</t>
  </si>
  <si>
    <t>Temperature Average</t>
  </si>
  <si>
    <t>Temperature Maximum</t>
  </si>
  <si>
    <t>CorporateA</t>
  </si>
  <si>
    <t>CorporateA1</t>
  </si>
  <si>
    <t>CorporateA2</t>
  </si>
  <si>
    <t>CorporateA3</t>
  </si>
  <si>
    <t>Primary Seal</t>
  </si>
  <si>
    <t>Secondary Seal</t>
  </si>
  <si>
    <t>KPI</t>
  </si>
  <si>
    <t>Signed Off Date</t>
  </si>
  <si>
    <t>KPI Plan</t>
  </si>
  <si>
    <t>KPI Category</t>
  </si>
  <si>
    <t>KPI Status</t>
  </si>
  <si>
    <t>KPI Catchup</t>
  </si>
  <si>
    <t>Yes/No</t>
  </si>
  <si>
    <t>KPI Has Prereqs</t>
  </si>
  <si>
    <t>RoC Start</t>
  </si>
  <si>
    <t>RoC End</t>
  </si>
  <si>
    <t>MaintHistory</t>
  </si>
  <si>
    <t>Maint Type</t>
  </si>
  <si>
    <t>Painting</t>
  </si>
  <si>
    <t>Roof Color</t>
  </si>
  <si>
    <t>Roof Condition</t>
  </si>
  <si>
    <t>Shell Color</t>
  </si>
  <si>
    <t>Shell Condition Exterior</t>
  </si>
  <si>
    <t>Shell Condition Interior</t>
  </si>
  <si>
    <t>Strakes</t>
  </si>
  <si>
    <t>Strake Number</t>
  </si>
  <si>
    <t>Thickness</t>
  </si>
  <si>
    <t>Length</t>
  </si>
  <si>
    <t>TankCRRL</t>
  </si>
  <si>
    <t>Maximum Corrosion Rate</t>
  </si>
  <si>
    <t>Minimum Remaining Life</t>
  </si>
  <si>
    <t>Strakes Calculated</t>
  </si>
  <si>
    <t>mm/yr</t>
  </si>
  <si>
    <t>yrs</t>
  </si>
  <si>
    <t>TankGauging</t>
  </si>
  <si>
    <t>Gauge</t>
  </si>
  <si>
    <t>Antennae</t>
  </si>
  <si>
    <t>Pipe Diameter</t>
  </si>
  <si>
    <t>Temperature Spots</t>
  </si>
  <si>
    <t>ATG UI</t>
  </si>
  <si>
    <t>Serial Number</t>
  </si>
  <si>
    <t>TankVent</t>
  </si>
  <si>
    <t>VentType</t>
  </si>
  <si>
    <t>VentSize</t>
  </si>
  <si>
    <t>PressureSetting</t>
  </si>
  <si>
    <t>VacuumSetting</t>
  </si>
  <si>
    <t>chkLookup</t>
  </si>
  <si>
    <t>lkpCommonYesNoConfirm</t>
  </si>
  <si>
    <t>lkpTankMaintPlanPlanGroup</t>
  </si>
  <si>
    <t>lkpServiceStatus</t>
  </si>
  <si>
    <t>°C</t>
  </si>
  <si>
    <t>lkpFloatingRoofRoofType</t>
  </si>
  <si>
    <t>lkpFloatingRoofRoofSeal</t>
  </si>
  <si>
    <t>lkpTankKPIPlan</t>
  </si>
  <si>
    <t>lkpTankKPIStatus</t>
  </si>
  <si>
    <t>lkpTankKPICategory</t>
  </si>
  <si>
    <t>lkpTankMaintHistoryMaintenanceType</t>
  </si>
  <si>
    <t>lkpTankVentsVentTypes</t>
  </si>
  <si>
    <t>Status</t>
  </si>
  <si>
    <t>lkpTankMaintPlanStatus</t>
  </si>
  <si>
    <t>lkpServiceProduct</t>
  </si>
  <si>
    <t>OrderInTable</t>
  </si>
  <si>
    <t>Friendly Table Name</t>
  </si>
  <si>
    <t>mm</t>
  </si>
  <si>
    <t>kPa</t>
  </si>
  <si>
    <t>+0.00;-0.00</t>
  </si>
  <si>
    <t>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</si>
</sst>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2">
    <xf numFmtId="0" fontId="0" fillId="0" borderId="0" xfId="0"/>
    <xf numFmtId="0" fontId="0" fillId="0" borderId="0" xfId="0" applyFont="1" applyFill="1" applyBorder="1" applyAlignment="1" applyProtection="1">
      <alignment horizontal="center" vertical="center"/>
    </xf>
    <xf numFmtId="0" fontId="0" fillId="0" borderId="0" xfId="0" applyFont="1" applyFill="1" applyBorder="1" applyAlignment="1" applyProtection="1">
      <alignment horizontal="right" vertical="center" wrapText="1"/>
    </xf>
    <xf numFmtId="0" fontId="0" fillId="0" borderId="0" xfId="0" applyFont="1" applyFill="1" applyBorder="1" applyAlignment="1" applyProtection="1">
      <alignment vertical="center" wrapText="1"/>
    </xf>
    <xf numFmtId="0" fontId="0" fillId="0" borderId="0" xfId="0" applyFont="1" applyFill="1" applyBorder="1" applyAlignment="1" applyProtection="1">
      <alignment horizontal="left" vertical="center"/>
    </xf>
    <xf numFmtId="0" fontId="0" fillId="0" borderId="0" xfId="0" applyFont="1" applyFill="1" applyBorder="1" applyAlignment="1" applyProtection="1">
      <alignment horizontal="left" vertical="center" wrapText="1"/>
    </xf>
    <xf numFmtId="0" fontId="0" fillId="0" borderId="0" xfId="0" applyAlignment="1">
      <alignment horizontal="left"/>
    </xf>
    <xf numFmtId="0" fontId="0" fillId="0" borderId="0" xfId="0" applyNumberFormat="1" applyFont="1" applyFill="1" applyAlignment="1" applyProtection="1">
      <alignment horizontal="left" vertical="center" wrapText="1"/>
    </xf>
    <xf numFmtId="0" fontId="0" fillId="0" borderId="0" xfId="0" applyNumberFormat="1"/>
    <xf numFmtId="0" fontId="1" fillId="2" borderId="0" xfId="1"/>
    <xf numFmtId="0" fontId="0" fillId="0" borderId="0" xfId="0" applyNumberFormat="1" applyFont="1" applyFill="1" applyBorder="1" applyAlignment="1" applyProtection="1">
      <alignment vertical="center" wrapText="1"/>
    </xf>
    <xf numFmtId="0" fontId="0" fillId="0" borderId="0" xfId="0" quotePrefix="1" applyFont="1" applyFill="1" applyBorder="1" applyAlignment="1" applyProtection="1">
      <alignment vertical="center" wrapText="1"/>
    </xf>
  </cellXfs>
  <cellStyles count="2">
    <cellStyle name="Bad" xfId="1" builtinId="27"/>
    <cellStyle name="Normal" xfId="0" builtinId="0"/>
  </cellStyles>
  <dxfs count="4">
    <dxf>
      <font>
        <color rgb="FF006100"/>
      </font>
      <fill>
        <patternFill>
          <bgColor rgb="FFC6EFCE"/>
        </patternFill>
      </fill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1" hidden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etaSchemaLookup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taSchemaLookups"/>
    </sheetNames>
    <sheetDataSet>
      <sheetData sheetId="0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38BA6DA-27A1-461B-98AF-62A1B8566C18}" name="Table1" displayName="Table1" ref="A1:O100" totalsRowShown="0">
  <autoFilter ref="A1:O100" xr:uid="{F38BA6DA-27A1-461B-98AF-62A1B8566C18}"/>
  <sortState xmlns:xlrd2="http://schemas.microsoft.com/office/spreadsheetml/2017/richdata2" ref="A2:O100">
    <sortCondition ref="B2:B100"/>
    <sortCondition ref="D2:D100"/>
  </sortState>
  <tableColumns count="15">
    <tableColumn id="1" xr3:uid="{C90C9570-36AB-4316-8078-6B895DF46D93}" name="ID"/>
    <tableColumn id="13" xr3:uid="{808CCFB3-4EBD-4E23-8E41-CAACE3C75B05}" name="Friendly Table Name" dataDxfId="3"/>
    <tableColumn id="2" xr3:uid="{B16A2BF7-26BD-46E2-BFE4-38FB9DCEDF20}" name="TableName">
      <calculatedColumnFormula>"tblDetail"&amp;Table1[[#This Row],[Friendly Table Name]]</calculatedColumnFormula>
    </tableColumn>
    <tableColumn id="15" xr3:uid="{631CE1E0-CBDC-40A3-9C13-34FBFE7EDB50}" name="OrderInTable"/>
    <tableColumn id="3" xr3:uid="{347CFEBE-9833-4C0B-A8B6-4900865A46A9}" name="FieldName" dataDxfId="2">
      <calculatedColumnFormula>SUBSTITUTE(Table1[[#This Row],[Caption]]," ","")</calculatedColumnFormula>
    </tableColumn>
    <tableColumn id="4" xr3:uid="{1BA74EA7-6D20-44A9-B6EE-56FA03A3ED1F}" name="FieldType"/>
    <tableColumn id="5" xr3:uid="{8DE9B1AD-E093-4B53-898C-2456D630352F}" name="Caption"/>
    <tableColumn id="6" xr3:uid="{C73D4329-2D4E-474C-9342-13A2AE284908}" name="LookupTable"/>
    <tableColumn id="7" xr3:uid="{9531183F-3832-45F0-9F35-106F490B27A2}" name="DefaultValue"/>
    <tableColumn id="8" xr3:uid="{E7A1072F-3D69-4C4E-BC80-CC9EDD7764FB}" name="Suffix"/>
    <tableColumn id="9" xr3:uid="{5595F1B0-AE0F-4F74-B901-C8746342B918}" name="Width"/>
    <tableColumn id="10" xr3:uid="{E5BDC191-145F-484E-92FF-97F59AE549E7}" name="Height"/>
    <tableColumn id="11" xr3:uid="{BB3CF1FF-B16A-459E-94A0-EA8115DE9AD4}" name="Format"/>
    <tableColumn id="12" xr3:uid="{55CADCA4-7526-4809-AC0A-47D39CF55BB6}" name="TextAlign"/>
    <tableColumn id="14" xr3:uid="{AF0FF051-A278-434B-AA5D-E0776D8CE6DF}" name="chkLookup" dataDxfId="1">
      <calculatedColumnFormula>IF(Table1[[#This Row],[LookupTable]]="","",ISNUMBER(MATCH(Table1[[#This Row],[LookupTable]],[1]!Table1[TableName],0)))</calculatedColumnFormula>
    </tableColumn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0"/>
  <sheetViews>
    <sheetView tabSelected="1" topLeftCell="A70" workbookViewId="0">
      <selection activeCell="J79" sqref="J79"/>
    </sheetView>
  </sheetViews>
  <sheetFormatPr defaultRowHeight="15" customHeight="1" x14ac:dyDescent="0.25"/>
  <cols>
    <col min="1" max="1" width="13.85546875" customWidth="1"/>
    <col min="2" max="2" width="13.85546875" style="6" customWidth="1"/>
    <col min="3" max="4" width="27.42578125" customWidth="1"/>
    <col min="5" max="5" width="25.140625" customWidth="1"/>
    <col min="6" max="6" width="13.85546875" customWidth="1"/>
    <col min="7" max="7" width="19.7109375" bestFit="1" customWidth="1"/>
    <col min="8" max="8" width="14.42578125" customWidth="1"/>
    <col min="9" max="9" width="14.85546875" customWidth="1"/>
    <col min="10" max="14" width="13.85546875" customWidth="1"/>
  </cols>
  <sheetData>
    <row r="1" spans="1:15" ht="15" customHeight="1" x14ac:dyDescent="0.25">
      <c r="A1" s="1" t="s">
        <v>0</v>
      </c>
      <c r="B1" s="4" t="s">
        <v>163</v>
      </c>
      <c r="C1" s="1" t="s">
        <v>1</v>
      </c>
      <c r="D1" s="1" t="s">
        <v>162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9" t="s">
        <v>147</v>
      </c>
    </row>
    <row r="2" spans="1:15" ht="15" customHeight="1" x14ac:dyDescent="0.25">
      <c r="A2" s="2"/>
      <c r="B2" s="5" t="s">
        <v>63</v>
      </c>
      <c r="C2" s="3" t="str">
        <f>"tblDetail"&amp;Table1[[#This Row],[Friendly Table Name]]</f>
        <v>tblDetailAlarmSetPoints</v>
      </c>
      <c r="D2" s="3">
        <v>1</v>
      </c>
      <c r="E2" s="3" t="str">
        <f>SUBSTITUTE(Table1[[#This Row],[Caption]]," ","")</f>
        <v>ESDAudible</v>
      </c>
      <c r="F2" s="3" t="s">
        <v>12</v>
      </c>
      <c r="G2" s="3" t="s">
        <v>14</v>
      </c>
      <c r="H2" s="3" t="s">
        <v>13</v>
      </c>
      <c r="I2" s="3" t="s">
        <v>13</v>
      </c>
      <c r="J2" s="3" t="s">
        <v>13</v>
      </c>
      <c r="K2" s="2">
        <v>4</v>
      </c>
      <c r="L2" s="2">
        <v>0.63500000000000001</v>
      </c>
      <c r="M2" s="3" t="s">
        <v>13</v>
      </c>
      <c r="N2" s="2">
        <v>0</v>
      </c>
      <c r="O2" t="str">
        <f>IF(Table1[[#This Row],[LookupTable]]="","",ISNUMBER(MATCH(Table1[[#This Row],[LookupTable]],[1]!Table1[TableName],0)))</f>
        <v/>
      </c>
    </row>
    <row r="3" spans="1:15" ht="15" customHeight="1" x14ac:dyDescent="0.25">
      <c r="A3" s="2"/>
      <c r="B3" s="5" t="s">
        <v>63</v>
      </c>
      <c r="C3" s="3" t="str">
        <f>"tblDetail"&amp;Table1[[#This Row],[Friendly Table Name]]</f>
        <v>tblDetailAlarmSetPoints</v>
      </c>
      <c r="D3" s="3">
        <v>2</v>
      </c>
      <c r="E3" s="3" t="str">
        <f>SUBSTITUTE(Table1[[#This Row],[Caption]]," ","")</f>
        <v>HiAudible</v>
      </c>
      <c r="F3" s="3" t="s">
        <v>12</v>
      </c>
      <c r="G3" s="3" t="s">
        <v>15</v>
      </c>
      <c r="H3" s="3" t="s">
        <v>13</v>
      </c>
      <c r="I3" s="3" t="s">
        <v>13</v>
      </c>
      <c r="J3" s="3" t="s">
        <v>13</v>
      </c>
      <c r="K3" s="2">
        <v>4</v>
      </c>
      <c r="L3" s="2">
        <v>0.63500000000000001</v>
      </c>
      <c r="M3" s="3" t="s">
        <v>13</v>
      </c>
      <c r="N3" s="2">
        <v>0</v>
      </c>
      <c r="O3" t="str">
        <f>IF(Table1[[#This Row],[LookupTable]]="","",ISNUMBER(MATCH(Table1[[#This Row],[LookupTable]],[1]!Table1[TableName],0)))</f>
        <v/>
      </c>
    </row>
    <row r="4" spans="1:15" ht="15" customHeight="1" x14ac:dyDescent="0.25">
      <c r="A4" s="2"/>
      <c r="B4" s="5" t="s">
        <v>63</v>
      </c>
      <c r="C4" s="3" t="str">
        <f>"tblDetail"&amp;Table1[[#This Row],[Friendly Table Name]]</f>
        <v>tblDetailAlarmSetPoints</v>
      </c>
      <c r="D4" s="3">
        <v>3</v>
      </c>
      <c r="E4" s="3" t="str">
        <f>SUBSTITUTE(Table1[[#This Row],[Caption]]," ","")</f>
        <v>HiHiSoft</v>
      </c>
      <c r="F4" s="3" t="s">
        <v>12</v>
      </c>
      <c r="G4" s="3" t="s">
        <v>16</v>
      </c>
      <c r="H4" s="3" t="s">
        <v>13</v>
      </c>
      <c r="I4" s="3" t="s">
        <v>13</v>
      </c>
      <c r="J4" s="3" t="s">
        <v>13</v>
      </c>
      <c r="K4" s="2">
        <v>4</v>
      </c>
      <c r="L4" s="2">
        <v>0.63500000000000001</v>
      </c>
      <c r="M4" s="3" t="s">
        <v>13</v>
      </c>
      <c r="N4" s="2">
        <v>0</v>
      </c>
      <c r="O4" t="str">
        <f>IF(Table1[[#This Row],[LookupTable]]="","",ISNUMBER(MATCH(Table1[[#This Row],[LookupTable]],[1]!Table1[TableName],0)))</f>
        <v/>
      </c>
    </row>
    <row r="5" spans="1:15" ht="15" customHeight="1" x14ac:dyDescent="0.25">
      <c r="A5" s="2"/>
      <c r="B5" s="5" t="s">
        <v>63</v>
      </c>
      <c r="C5" s="3" t="str">
        <f>"tblDetail"&amp;Table1[[#This Row],[Friendly Table Name]]</f>
        <v>tblDetailAlarmSetPoints</v>
      </c>
      <c r="D5" s="3">
        <v>4</v>
      </c>
      <c r="E5" s="3" t="str">
        <f>SUBSTITUTE(Table1[[#This Row],[Caption]]," ","")</f>
        <v>HiSoft</v>
      </c>
      <c r="F5" s="3" t="s">
        <v>12</v>
      </c>
      <c r="G5" s="3" t="s">
        <v>17</v>
      </c>
      <c r="H5" s="3" t="s">
        <v>13</v>
      </c>
      <c r="I5" s="3" t="s">
        <v>13</v>
      </c>
      <c r="J5" s="3" t="s">
        <v>13</v>
      </c>
      <c r="K5" s="2">
        <v>4</v>
      </c>
      <c r="L5" s="2">
        <v>0.63500000000000001</v>
      </c>
      <c r="M5" s="3" t="s">
        <v>13</v>
      </c>
      <c r="N5" s="2">
        <v>0</v>
      </c>
      <c r="O5" t="str">
        <f>IF(Table1[[#This Row],[LookupTable]]="","",ISNUMBER(MATCH(Table1[[#This Row],[LookupTable]],[1]!Table1[TableName],0)))</f>
        <v/>
      </c>
    </row>
    <row r="6" spans="1:15" ht="15" customHeight="1" x14ac:dyDescent="0.25">
      <c r="A6" s="2"/>
      <c r="B6" s="5" t="s">
        <v>63</v>
      </c>
      <c r="C6" s="3" t="str">
        <f>"tblDetail"&amp;Table1[[#This Row],[Friendly Table Name]]</f>
        <v>tblDetailAlarmSetPoints</v>
      </c>
      <c r="D6" s="3">
        <v>5</v>
      </c>
      <c r="E6" s="3" t="str">
        <f>SUBSTITUTE(Table1[[#This Row],[Caption]]," ","")</f>
        <v>LoSoft</v>
      </c>
      <c r="F6" s="3" t="s">
        <v>12</v>
      </c>
      <c r="G6" s="3" t="s">
        <v>19</v>
      </c>
      <c r="H6" s="3" t="s">
        <v>13</v>
      </c>
      <c r="I6" s="3" t="s">
        <v>13</v>
      </c>
      <c r="J6" s="3" t="s">
        <v>13</v>
      </c>
      <c r="K6" s="2">
        <v>4</v>
      </c>
      <c r="L6" s="2">
        <v>0.63500000000000001</v>
      </c>
      <c r="M6" s="3" t="s">
        <v>13</v>
      </c>
      <c r="N6" s="2">
        <v>0</v>
      </c>
      <c r="O6" t="str">
        <f>IF(Table1[[#This Row],[LookupTable]]="","",ISNUMBER(MATCH(Table1[[#This Row],[LookupTable]],[1]!Table1[TableName],0)))</f>
        <v/>
      </c>
    </row>
    <row r="7" spans="1:15" ht="15" customHeight="1" x14ac:dyDescent="0.25">
      <c r="A7" s="2"/>
      <c r="B7" s="5" t="s">
        <v>63</v>
      </c>
      <c r="C7" s="3" t="str">
        <f>"tblDetail"&amp;Table1[[#This Row],[Friendly Table Name]]</f>
        <v>tblDetailAlarmSetPoints</v>
      </c>
      <c r="D7" s="3">
        <v>6</v>
      </c>
      <c r="E7" s="3" t="str">
        <f>SUBSTITUTE(Table1[[#This Row],[Caption]]," ","")</f>
        <v>LoLoSoft</v>
      </c>
      <c r="F7" s="3" t="s">
        <v>12</v>
      </c>
      <c r="G7" s="3" t="s">
        <v>18</v>
      </c>
      <c r="H7" s="3" t="s">
        <v>13</v>
      </c>
      <c r="I7" s="3" t="s">
        <v>13</v>
      </c>
      <c r="J7" s="3" t="s">
        <v>13</v>
      </c>
      <c r="K7" s="2">
        <v>4</v>
      </c>
      <c r="L7" s="2">
        <v>0.63500000000000001</v>
      </c>
      <c r="M7" s="3" t="s">
        <v>13</v>
      </c>
      <c r="N7" s="2">
        <v>0</v>
      </c>
      <c r="O7" t="str">
        <f>IF(Table1[[#This Row],[LookupTable]]="","",ISNUMBER(MATCH(Table1[[#This Row],[LookupTable]],[1]!Table1[TableName],0)))</f>
        <v/>
      </c>
    </row>
    <row r="8" spans="1:15" ht="15" customHeight="1" x14ac:dyDescent="0.25">
      <c r="B8" s="7" t="s">
        <v>82</v>
      </c>
      <c r="C8" t="str">
        <f>"tblDetail"&amp;Table1[[#This Row],[Friendly Table Name]]</f>
        <v>tblDetailASTI</v>
      </c>
      <c r="D8">
        <v>1</v>
      </c>
      <c r="E8" s="8" t="str">
        <f>SUBSTITUTE(Table1[[#This Row],[Caption]]," ","")</f>
        <v>ReceiptMethod</v>
      </c>
      <c r="F8" s="3" t="s">
        <v>12</v>
      </c>
      <c r="G8" t="s">
        <v>84</v>
      </c>
      <c r="K8" s="2">
        <v>4</v>
      </c>
      <c r="L8" s="2">
        <v>0.63500000000000001</v>
      </c>
      <c r="M8" s="3" t="s">
        <v>13</v>
      </c>
      <c r="N8" s="2">
        <v>0</v>
      </c>
      <c r="O8" t="str">
        <f>IF(Table1[[#This Row],[LookupTable]]="","",ISNUMBER(MATCH(Table1[[#This Row],[LookupTable]],[1]!Table1[TableName],0)))</f>
        <v/>
      </c>
    </row>
    <row r="9" spans="1:15" ht="15" customHeight="1" x14ac:dyDescent="0.25">
      <c r="B9" s="7" t="s">
        <v>82</v>
      </c>
      <c r="C9" t="str">
        <f>"tblDetail"&amp;Table1[[#This Row],[Friendly Table Name]]</f>
        <v>tblDetailASTI</v>
      </c>
      <c r="D9">
        <v>2</v>
      </c>
      <c r="E9" s="8" t="str">
        <f>SUBSTITUTE(Table1[[#This Row],[Caption]]," ","")</f>
        <v>DesignPressure</v>
      </c>
      <c r="F9" s="3" t="s">
        <v>12</v>
      </c>
      <c r="G9" t="s">
        <v>85</v>
      </c>
      <c r="K9" s="2">
        <v>4</v>
      </c>
      <c r="L9" s="2">
        <v>0.63500000000000001</v>
      </c>
      <c r="M9" s="3" t="s">
        <v>13</v>
      </c>
      <c r="N9" s="2">
        <v>0</v>
      </c>
      <c r="O9" t="str">
        <f>IF(Table1[[#This Row],[LookupTable]]="","",ISNUMBER(MATCH(Table1[[#This Row],[LookupTable]],[1]!Table1[TableName],0)))</f>
        <v/>
      </c>
    </row>
    <row r="10" spans="1:15" ht="15" customHeight="1" x14ac:dyDescent="0.25">
      <c r="B10" s="7" t="s">
        <v>82</v>
      </c>
      <c r="C10" t="str">
        <f>"tblDetail"&amp;Table1[[#This Row],[Friendly Table Name]]</f>
        <v>tblDetailASTI</v>
      </c>
      <c r="D10">
        <v>3</v>
      </c>
      <c r="E10" s="8" t="str">
        <f>SUBSTITUTE(Table1[[#This Row],[Caption]]," ","")</f>
        <v>DesignTemperature</v>
      </c>
      <c r="F10" s="3" t="s">
        <v>12</v>
      </c>
      <c r="G10" t="s">
        <v>86</v>
      </c>
      <c r="K10" s="2">
        <v>4</v>
      </c>
      <c r="L10" s="2">
        <v>0.63500000000000001</v>
      </c>
      <c r="M10" s="3" t="s">
        <v>13</v>
      </c>
      <c r="N10" s="2">
        <v>0</v>
      </c>
      <c r="O10" t="str">
        <f>IF(Table1[[#This Row],[LookupTable]]="","",ISNUMBER(MATCH(Table1[[#This Row],[LookupTable]],[1]!Table1[TableName],0)))</f>
        <v/>
      </c>
    </row>
    <row r="11" spans="1:15" ht="15" customHeight="1" x14ac:dyDescent="0.25">
      <c r="B11" s="7" t="s">
        <v>82</v>
      </c>
      <c r="C11" t="str">
        <f>"tblDetail"&amp;Table1[[#This Row],[Friendly Table Name]]</f>
        <v>tblDetailASTI</v>
      </c>
      <c r="D11">
        <v>4</v>
      </c>
      <c r="E11" s="8" t="str">
        <f>SUBSTITUTE(Table1[[#This Row],[Caption]]," ","")</f>
        <v>OperationalCapacity</v>
      </c>
      <c r="F11" s="3" t="s">
        <v>12</v>
      </c>
      <c r="G11" t="s">
        <v>51</v>
      </c>
      <c r="K11" s="2">
        <v>4</v>
      </c>
      <c r="L11" s="2">
        <v>0.63500000000000001</v>
      </c>
      <c r="M11" s="3" t="s">
        <v>13</v>
      </c>
      <c r="N11" s="2">
        <v>0</v>
      </c>
      <c r="O11" t="str">
        <f>IF(Table1[[#This Row],[LookupTable]]="","",ISNUMBER(MATCH(Table1[[#This Row],[LookupTable]],[1]!Table1[TableName],0)))</f>
        <v/>
      </c>
    </row>
    <row r="12" spans="1:15" ht="15" customHeight="1" x14ac:dyDescent="0.25">
      <c r="B12" s="7" t="s">
        <v>82</v>
      </c>
      <c r="C12" t="str">
        <f>"tblDetail"&amp;Table1[[#This Row],[Friendly Table Name]]</f>
        <v>tblDetailASTI</v>
      </c>
      <c r="D12">
        <v>5</v>
      </c>
      <c r="E12" s="8" t="str">
        <f>SUBSTITUTE(Table1[[#This Row],[Caption]]," ","")</f>
        <v>MaximumCapacity</v>
      </c>
      <c r="F12" s="3" t="s">
        <v>12</v>
      </c>
      <c r="G12" t="s">
        <v>87</v>
      </c>
      <c r="K12" s="2">
        <v>4</v>
      </c>
      <c r="L12" s="2">
        <v>0.63500000000000001</v>
      </c>
      <c r="M12" s="3" t="s">
        <v>13</v>
      </c>
      <c r="N12" s="2">
        <v>0</v>
      </c>
      <c r="O12" t="str">
        <f>IF(Table1[[#This Row],[LookupTable]]="","",ISNUMBER(MATCH(Table1[[#This Row],[LookupTable]],[1]!Table1[TableName],0)))</f>
        <v/>
      </c>
    </row>
    <row r="13" spans="1:15" ht="15" customHeight="1" x14ac:dyDescent="0.25">
      <c r="B13" s="7" t="s">
        <v>82</v>
      </c>
      <c r="C13" t="str">
        <f>"tblDetail"&amp;Table1[[#This Row],[Friendly Table Name]]</f>
        <v>tblDetailASTI</v>
      </c>
      <c r="D13">
        <v>6</v>
      </c>
      <c r="E13" s="8" t="str">
        <f>SUBSTITUTE(Table1[[#This Row],[Caption]]," ","")</f>
        <v>FillFlow</v>
      </c>
      <c r="F13" s="3" t="s">
        <v>12</v>
      </c>
      <c r="G13" t="s">
        <v>88</v>
      </c>
      <c r="K13" s="2">
        <v>4</v>
      </c>
      <c r="L13" s="2">
        <v>0.63500000000000001</v>
      </c>
      <c r="M13" s="3" t="s">
        <v>13</v>
      </c>
      <c r="N13" s="2">
        <v>0</v>
      </c>
      <c r="O13" t="str">
        <f>IF(Table1[[#This Row],[LookupTable]]="","",ISNUMBER(MATCH(Table1[[#This Row],[LookupTable]],[1]!Table1[TableName],0)))</f>
        <v/>
      </c>
    </row>
    <row r="14" spans="1:15" ht="15" customHeight="1" x14ac:dyDescent="0.25">
      <c r="B14" s="7" t="s">
        <v>82</v>
      </c>
      <c r="C14" t="str">
        <f>"tblDetail"&amp;Table1[[#This Row],[Friendly Table Name]]</f>
        <v>tblDetailASTI</v>
      </c>
      <c r="D14">
        <v>7</v>
      </c>
      <c r="E14" s="8" t="str">
        <f>SUBSTITUTE(Table1[[#This Row],[Caption]]," ","")</f>
        <v>EmptyFlow</v>
      </c>
      <c r="F14" s="3" t="s">
        <v>12</v>
      </c>
      <c r="G14" t="s">
        <v>89</v>
      </c>
      <c r="K14" s="2">
        <v>4</v>
      </c>
      <c r="L14" s="2">
        <v>0.63500000000000001</v>
      </c>
      <c r="M14" s="3" t="s">
        <v>13</v>
      </c>
      <c r="N14" s="2">
        <v>0</v>
      </c>
      <c r="O14" t="str">
        <f>IF(Table1[[#This Row],[LookupTable]]="","",ISNUMBER(MATCH(Table1[[#This Row],[LookupTable]],[1]!Table1[TableName],0)))</f>
        <v/>
      </c>
    </row>
    <row r="15" spans="1:15" ht="15" customHeight="1" x14ac:dyDescent="0.25">
      <c r="B15" s="7" t="s">
        <v>82</v>
      </c>
      <c r="C15" t="str">
        <f>"tblDetail"&amp;Table1[[#This Row],[Friendly Table Name]]</f>
        <v>tblDetailASTI</v>
      </c>
      <c r="D15">
        <v>8</v>
      </c>
      <c r="E15" s="8" t="str">
        <f>SUBSTITUTE(Table1[[#This Row],[Caption]]," ","")</f>
        <v>FloorType</v>
      </c>
      <c r="F15" s="3" t="s">
        <v>12</v>
      </c>
      <c r="G15" t="s">
        <v>90</v>
      </c>
      <c r="K15" s="2">
        <v>4</v>
      </c>
      <c r="L15" s="2">
        <v>0.63500000000000001</v>
      </c>
      <c r="M15" s="3" t="s">
        <v>13</v>
      </c>
      <c r="N15" s="2">
        <v>0</v>
      </c>
      <c r="O15" t="str">
        <f>IF(Table1[[#This Row],[LookupTable]]="","",ISNUMBER(MATCH(Table1[[#This Row],[LookupTable]],[1]!Table1[TableName],0)))</f>
        <v/>
      </c>
    </row>
    <row r="16" spans="1:15" ht="15" customHeight="1" x14ac:dyDescent="0.25">
      <c r="B16" s="7" t="s">
        <v>82</v>
      </c>
      <c r="C16" t="str">
        <f>"tblDetail"&amp;Table1[[#This Row],[Friendly Table Name]]</f>
        <v>tblDetailASTI</v>
      </c>
      <c r="D16">
        <v>9</v>
      </c>
      <c r="E16" s="8" t="str">
        <f>SUBSTITUTE(Table1[[#This Row],[Caption]]," ","")</f>
        <v>CathodicProtection</v>
      </c>
      <c r="F16" s="3" t="s">
        <v>12</v>
      </c>
      <c r="G16" t="s">
        <v>91</v>
      </c>
      <c r="K16" s="2">
        <v>4</v>
      </c>
      <c r="L16" s="2">
        <v>0.63500000000000001</v>
      </c>
      <c r="M16" s="3" t="s">
        <v>13</v>
      </c>
      <c r="N16" s="2">
        <v>0</v>
      </c>
      <c r="O16" t="str">
        <f>IF(Table1[[#This Row],[LookupTable]]="","",ISNUMBER(MATCH(Table1[[#This Row],[LookupTable]],[1]!Table1[TableName],0)))</f>
        <v/>
      </c>
    </row>
    <row r="17" spans="1:15" ht="15" customHeight="1" x14ac:dyDescent="0.25">
      <c r="B17" s="7" t="s">
        <v>82</v>
      </c>
      <c r="C17" t="str">
        <f>"tblDetail"&amp;Table1[[#This Row],[Friendly Table Name]]</f>
        <v>tblDetailASTI</v>
      </c>
      <c r="D17">
        <v>10</v>
      </c>
      <c r="E17" s="8" t="str">
        <f>SUBSTITUTE(Table1[[#This Row],[Caption]]," ","")</f>
        <v>ConstructgionStandard</v>
      </c>
      <c r="F17" s="3" t="s">
        <v>12</v>
      </c>
      <c r="G17" t="s">
        <v>92</v>
      </c>
      <c r="K17" s="2">
        <v>4</v>
      </c>
      <c r="L17" s="2">
        <v>0.63500000000000001</v>
      </c>
      <c r="M17" s="3" t="s">
        <v>13</v>
      </c>
      <c r="N17" s="2">
        <v>0</v>
      </c>
      <c r="O17" t="str">
        <f>IF(Table1[[#This Row],[LookupTable]]="","",ISNUMBER(MATCH(Table1[[#This Row],[LookupTable]],[1]!Table1[TableName],0)))</f>
        <v/>
      </c>
    </row>
    <row r="18" spans="1:15" ht="15" customHeight="1" x14ac:dyDescent="0.25">
      <c r="B18" s="7" t="s">
        <v>82</v>
      </c>
      <c r="C18" t="str">
        <f>"tblDetail"&amp;Table1[[#This Row],[Friendly Table Name]]</f>
        <v>tblDetailASTI</v>
      </c>
      <c r="D18">
        <v>11</v>
      </c>
      <c r="E18" s="8" t="str">
        <f>SUBSTITUTE(Table1[[#This Row],[Caption]]," ","")</f>
        <v>GroundwaterRating</v>
      </c>
      <c r="F18" s="3" t="s">
        <v>12</v>
      </c>
      <c r="G18" t="s">
        <v>93</v>
      </c>
      <c r="K18" s="2">
        <v>4</v>
      </c>
      <c r="L18" s="2">
        <v>0.63500000000000001</v>
      </c>
      <c r="M18" s="3" t="s">
        <v>13</v>
      </c>
      <c r="N18" s="2">
        <v>0</v>
      </c>
      <c r="O18" t="str">
        <f>IF(Table1[[#This Row],[LookupTable]]="","",ISNUMBER(MATCH(Table1[[#This Row],[LookupTable]],[1]!Table1[TableName],0)))</f>
        <v/>
      </c>
    </row>
    <row r="19" spans="1:15" ht="15" customHeight="1" x14ac:dyDescent="0.25">
      <c r="B19" s="7" t="s">
        <v>82</v>
      </c>
      <c r="C19" t="str">
        <f>"tblDetail"&amp;Table1[[#This Row],[Friendly Table Name]]</f>
        <v>tblDetailASTI</v>
      </c>
      <c r="D19">
        <v>12</v>
      </c>
      <c r="E19" s="8" t="str">
        <f>SUBSTITUTE(Table1[[#This Row],[Caption]]," ","")</f>
        <v>CorrosivityRating</v>
      </c>
      <c r="F19" s="3" t="s">
        <v>12</v>
      </c>
      <c r="G19" t="s">
        <v>94</v>
      </c>
      <c r="K19" s="2">
        <v>4</v>
      </c>
      <c r="L19" s="2">
        <v>0.63500000000000001</v>
      </c>
      <c r="M19" s="3" t="s">
        <v>13</v>
      </c>
      <c r="N19" s="2">
        <v>0</v>
      </c>
      <c r="O19" t="str">
        <f>IF(Table1[[#This Row],[LookupTable]]="","",ISNUMBER(MATCH(Table1[[#This Row],[LookupTable]],[1]!Table1[TableName],0)))</f>
        <v/>
      </c>
    </row>
    <row r="20" spans="1:15" ht="15" customHeight="1" x14ac:dyDescent="0.25">
      <c r="B20" s="7" t="s">
        <v>82</v>
      </c>
      <c r="C20" t="str">
        <f>"tblDetail"&amp;Table1[[#This Row],[Friendly Table Name]]</f>
        <v>tblDetailASTI</v>
      </c>
      <c r="D20">
        <v>13</v>
      </c>
      <c r="E20" s="8" t="str">
        <f>SUBSTITUTE(Table1[[#This Row],[Caption]]," ","")</f>
        <v>PriorityRating</v>
      </c>
      <c r="F20" s="3" t="s">
        <v>12</v>
      </c>
      <c r="G20" t="s">
        <v>95</v>
      </c>
      <c r="K20" s="2">
        <v>4</v>
      </c>
      <c r="L20" s="2">
        <v>0.63500000000000001</v>
      </c>
      <c r="M20" s="3" t="s">
        <v>13</v>
      </c>
      <c r="N20" s="2">
        <v>0</v>
      </c>
      <c r="O20" t="str">
        <f>IF(Table1[[#This Row],[LookupTable]]="","",ISNUMBER(MATCH(Table1[[#This Row],[LookupTable]],[1]!Table1[TableName],0)))</f>
        <v/>
      </c>
    </row>
    <row r="21" spans="1:15" ht="15" customHeight="1" x14ac:dyDescent="0.25">
      <c r="A21" s="2"/>
      <c r="B21" s="5" t="s">
        <v>64</v>
      </c>
      <c r="C21" s="3" t="str">
        <f>"tblDetail"&amp;Table1[[#This Row],[Friendly Table Name]]</f>
        <v>tblDetailConstruction</v>
      </c>
      <c r="D21" s="3">
        <v>1</v>
      </c>
      <c r="E21" s="3" t="str">
        <f>SUBSTITUTE(Table1[[#This Row],[Caption]]," ","")</f>
        <v>DateErected</v>
      </c>
      <c r="F21" s="3" t="s">
        <v>21</v>
      </c>
      <c r="G21" s="3" t="s">
        <v>22</v>
      </c>
      <c r="H21" s="3" t="s">
        <v>13</v>
      </c>
      <c r="I21" s="3" t="s">
        <v>13</v>
      </c>
      <c r="J21" s="3" t="s">
        <v>13</v>
      </c>
      <c r="K21" s="2">
        <v>2</v>
      </c>
      <c r="L21" s="2">
        <v>0.63500000000000001</v>
      </c>
      <c r="M21" s="3" t="s">
        <v>13</v>
      </c>
      <c r="N21" s="2">
        <v>2</v>
      </c>
      <c r="O21" t="str">
        <f>IF(Table1[[#This Row],[LookupTable]]="","",ISNUMBER(MATCH(Table1[[#This Row],[LookupTable]],[1]!Table1[TableName],0)))</f>
        <v/>
      </c>
    </row>
    <row r="22" spans="1:15" ht="15" customHeight="1" x14ac:dyDescent="0.25">
      <c r="A22" s="2"/>
      <c r="B22" s="5" t="s">
        <v>64</v>
      </c>
      <c r="C22" s="3" t="str">
        <f>"tblDetail"&amp;Table1[[#This Row],[Friendly Table Name]]</f>
        <v>tblDetailConstruction</v>
      </c>
      <c r="D22" s="3">
        <v>2</v>
      </c>
      <c r="E22" s="3" t="str">
        <f>SUBSTITUTE(Table1[[#This Row],[Caption]]," ","")</f>
        <v>Manufacturer</v>
      </c>
      <c r="F22" s="3" t="s">
        <v>12</v>
      </c>
      <c r="G22" s="3" t="s">
        <v>25</v>
      </c>
      <c r="H22" s="3" t="s">
        <v>13</v>
      </c>
      <c r="I22" s="3" t="s">
        <v>13</v>
      </c>
      <c r="J22" s="3" t="s">
        <v>13</v>
      </c>
      <c r="K22" s="2">
        <v>4</v>
      </c>
      <c r="L22" s="2">
        <v>0.63500000000000001</v>
      </c>
      <c r="M22" s="3" t="s">
        <v>13</v>
      </c>
      <c r="N22" s="2">
        <v>0</v>
      </c>
      <c r="O22" t="str">
        <f>IF(Table1[[#This Row],[LookupTable]]="","",ISNUMBER(MATCH(Table1[[#This Row],[LookupTable]],[1]!Table1[TableName],0)))</f>
        <v/>
      </c>
    </row>
    <row r="23" spans="1:15" ht="15" customHeight="1" x14ac:dyDescent="0.25">
      <c r="A23" s="2"/>
      <c r="B23" s="5" t="s">
        <v>64</v>
      </c>
      <c r="C23" s="3" t="str">
        <f>"tblDetail"&amp;Table1[[#This Row],[Friendly Table Name]]</f>
        <v>tblDetailConstruction</v>
      </c>
      <c r="D23" s="3">
        <v>3</v>
      </c>
      <c r="E23" s="3" t="str">
        <f>SUBSTITUTE(Table1[[#This Row],[Caption]]," ","")</f>
        <v>JobNumber</v>
      </c>
      <c r="F23" s="3" t="s">
        <v>12</v>
      </c>
      <c r="G23" s="3" t="s">
        <v>23</v>
      </c>
      <c r="H23" s="3" t="s">
        <v>13</v>
      </c>
      <c r="I23" s="3" t="s">
        <v>13</v>
      </c>
      <c r="J23" s="3" t="s">
        <v>13</v>
      </c>
      <c r="K23" s="2">
        <v>4</v>
      </c>
      <c r="L23" s="2">
        <v>0.63500000000000001</v>
      </c>
      <c r="M23" s="3" t="s">
        <v>13</v>
      </c>
      <c r="N23" s="2">
        <v>0</v>
      </c>
      <c r="O23" t="str">
        <f>IF(Table1[[#This Row],[LookupTable]]="","",ISNUMBER(MATCH(Table1[[#This Row],[LookupTable]],[1]!Table1[TableName],0)))</f>
        <v/>
      </c>
    </row>
    <row r="24" spans="1:15" ht="15" customHeight="1" x14ac:dyDescent="0.25">
      <c r="A24" s="2"/>
      <c r="B24" s="5" t="s">
        <v>64</v>
      </c>
      <c r="C24" s="3" t="str">
        <f>"tblDetail"&amp;Table1[[#This Row],[Friendly Table Name]]</f>
        <v>tblDetailConstruction</v>
      </c>
      <c r="D24" s="3">
        <v>4</v>
      </c>
      <c r="E24" s="3" t="str">
        <f>SUBSTITUTE(Table1[[#This Row],[Caption]]," ","")</f>
        <v>ConstructionCode</v>
      </c>
      <c r="F24" s="3" t="s">
        <v>12</v>
      </c>
      <c r="G24" s="3" t="s">
        <v>20</v>
      </c>
      <c r="H24" s="3" t="s">
        <v>13</v>
      </c>
      <c r="I24" s="3" t="s">
        <v>13</v>
      </c>
      <c r="J24" s="3" t="s">
        <v>13</v>
      </c>
      <c r="K24" s="2">
        <v>4</v>
      </c>
      <c r="L24" s="2">
        <v>0.63500000000000001</v>
      </c>
      <c r="M24" s="3" t="s">
        <v>13</v>
      </c>
      <c r="N24" s="2">
        <v>0</v>
      </c>
      <c r="O24" t="str">
        <f>IF(Table1[[#This Row],[LookupTable]]="","",ISNUMBER(MATCH(Table1[[#This Row],[LookupTable]],[1]!Table1[TableName],0)))</f>
        <v/>
      </c>
    </row>
    <row r="25" spans="1:15" ht="15" customHeight="1" x14ac:dyDescent="0.25">
      <c r="A25" s="2"/>
      <c r="B25" s="5" t="s">
        <v>64</v>
      </c>
      <c r="C25" s="3" t="str">
        <f>"tblDetail"&amp;Table1[[#This Row],[Friendly Table Name]]</f>
        <v>tblDetailConstruction</v>
      </c>
      <c r="D25" s="3">
        <v>5</v>
      </c>
      <c r="E25" s="3" t="str">
        <f>SUBSTITUTE(Table1[[#This Row],[Caption]]," ","")</f>
        <v>JointMethod</v>
      </c>
      <c r="F25" s="3" t="s">
        <v>12</v>
      </c>
      <c r="G25" s="3" t="s">
        <v>24</v>
      </c>
      <c r="H25" s="3" t="s">
        <v>13</v>
      </c>
      <c r="I25" s="3" t="s">
        <v>13</v>
      </c>
      <c r="J25" s="3" t="s">
        <v>13</v>
      </c>
      <c r="K25" s="2">
        <v>4</v>
      </c>
      <c r="L25" s="2">
        <v>0.63500000000000001</v>
      </c>
      <c r="M25" s="3" t="s">
        <v>13</v>
      </c>
      <c r="N25" s="2">
        <v>0</v>
      </c>
      <c r="O25" t="str">
        <f>IF(Table1[[#This Row],[LookupTable]]="","",ISNUMBER(MATCH(Table1[[#This Row],[LookupTable]],[1]!Table1[TableName],0)))</f>
        <v/>
      </c>
    </row>
    <row r="26" spans="1:15" ht="15" customHeight="1" x14ac:dyDescent="0.25">
      <c r="A26" s="2"/>
      <c r="B26" s="5" t="s">
        <v>65</v>
      </c>
      <c r="C26" s="3" t="str">
        <f>"tblDetail"&amp;Table1[[#This Row],[Friendly Table Name]]</f>
        <v>tblDetailCoordinates</v>
      </c>
      <c r="D26" s="3">
        <v>6</v>
      </c>
      <c r="E26" s="3" t="str">
        <f>SUBSTITUTE(Table1[[#This Row],[Caption]]," ","")</f>
        <v>Latitude</v>
      </c>
      <c r="F26" s="3" t="s">
        <v>27</v>
      </c>
      <c r="G26" s="3" t="s">
        <v>30</v>
      </c>
      <c r="H26" s="3" t="s">
        <v>13</v>
      </c>
      <c r="I26" s="3" t="s">
        <v>13</v>
      </c>
      <c r="J26" s="3" t="s">
        <v>13</v>
      </c>
      <c r="K26" s="2">
        <v>4</v>
      </c>
      <c r="L26" s="2">
        <v>0.63500000000000001</v>
      </c>
      <c r="M26" s="3" t="s">
        <v>31</v>
      </c>
      <c r="N26" s="2">
        <v>3</v>
      </c>
      <c r="O26" t="str">
        <f>IF(Table1[[#This Row],[LookupTable]]="","",ISNUMBER(MATCH(Table1[[#This Row],[LookupTable]],[1]!Table1[TableName],0)))</f>
        <v/>
      </c>
    </row>
    <row r="27" spans="1:15" ht="15" customHeight="1" x14ac:dyDescent="0.25">
      <c r="A27" s="2"/>
      <c r="B27" s="5" t="s">
        <v>65</v>
      </c>
      <c r="C27" s="3" t="str">
        <f>"tblDetail"&amp;Table1[[#This Row],[Friendly Table Name]]</f>
        <v>tblDetailCoordinates</v>
      </c>
      <c r="D27" s="3">
        <v>7</v>
      </c>
      <c r="E27" s="3" t="str">
        <f>SUBSTITUTE(Table1[[#This Row],[Caption]]," ","")</f>
        <v>Longitude</v>
      </c>
      <c r="F27" s="3" t="s">
        <v>27</v>
      </c>
      <c r="G27" s="3" t="s">
        <v>32</v>
      </c>
      <c r="H27" s="3" t="s">
        <v>13</v>
      </c>
      <c r="I27" s="3" t="s">
        <v>13</v>
      </c>
      <c r="J27" s="3" t="s">
        <v>13</v>
      </c>
      <c r="K27" s="2">
        <v>4</v>
      </c>
      <c r="L27" s="2">
        <v>0.63500000000000001</v>
      </c>
      <c r="M27" s="3" t="s">
        <v>31</v>
      </c>
      <c r="N27" s="2">
        <v>3</v>
      </c>
      <c r="O27" t="str">
        <f>IF(Table1[[#This Row],[LookupTable]]="","",ISNUMBER(MATCH(Table1[[#This Row],[LookupTable]],[1]!Table1[TableName],0)))</f>
        <v/>
      </c>
    </row>
    <row r="28" spans="1:15" ht="15" customHeight="1" x14ac:dyDescent="0.25">
      <c r="A28" s="2"/>
      <c r="B28" s="5" t="s">
        <v>65</v>
      </c>
      <c r="C28" s="3" t="str">
        <f>"tblDetail"&amp;Table1[[#This Row],[Friendly Table Name]]</f>
        <v>tblDetailCoordinates</v>
      </c>
      <c r="D28" s="3">
        <v>8</v>
      </c>
      <c r="E28" s="3" t="str">
        <f>SUBSTITUTE(Table1[[#This Row],[Caption]]," ","")</f>
        <v>Altitude</v>
      </c>
      <c r="F28" s="3" t="s">
        <v>27</v>
      </c>
      <c r="G28" s="3" t="s">
        <v>26</v>
      </c>
      <c r="H28" s="3" t="s">
        <v>13</v>
      </c>
      <c r="I28" s="3" t="s">
        <v>13</v>
      </c>
      <c r="J28" s="3" t="s">
        <v>28</v>
      </c>
      <c r="K28" s="2">
        <v>4</v>
      </c>
      <c r="L28" s="2">
        <v>0.63500000000000001</v>
      </c>
      <c r="M28" s="3" t="s">
        <v>29</v>
      </c>
      <c r="N28" s="2">
        <v>3</v>
      </c>
      <c r="O28" t="str">
        <f>IF(Table1[[#This Row],[LookupTable]]="","",ISNUMBER(MATCH(Table1[[#This Row],[LookupTable]],[1]!Table1[TableName],0)))</f>
        <v/>
      </c>
    </row>
    <row r="29" spans="1:15" ht="15" customHeight="1" x14ac:dyDescent="0.25">
      <c r="B29" s="7" t="s">
        <v>101</v>
      </c>
      <c r="C29" t="str">
        <f>"tblDetail"&amp;Table1[[#This Row],[Friendly Table Name]]</f>
        <v>tblDetailCorporateA</v>
      </c>
      <c r="D29">
        <v>1</v>
      </c>
      <c r="E29" s="8" t="str">
        <f>SUBSTITUTE(Table1[[#This Row],[Caption]]," ","")</f>
        <v>CorporateA1</v>
      </c>
      <c r="F29" s="3" t="s">
        <v>12</v>
      </c>
      <c r="G29" t="s">
        <v>102</v>
      </c>
      <c r="K29" s="2">
        <v>4</v>
      </c>
      <c r="L29" s="2">
        <v>0.63500000000000001</v>
      </c>
      <c r="M29" s="3" t="s">
        <v>13</v>
      </c>
      <c r="N29" s="2">
        <v>0</v>
      </c>
      <c r="O29" t="str">
        <f>IF(Table1[[#This Row],[LookupTable]]="","",ISNUMBER(MATCH(Table1[[#This Row],[LookupTable]],[1]!Table1[TableName],0)))</f>
        <v/>
      </c>
    </row>
    <row r="30" spans="1:15" ht="15" customHeight="1" x14ac:dyDescent="0.25">
      <c r="B30" s="7" t="s">
        <v>101</v>
      </c>
      <c r="C30" t="str">
        <f>"tblDetail"&amp;Table1[[#This Row],[Friendly Table Name]]</f>
        <v>tblDetailCorporateA</v>
      </c>
      <c r="D30">
        <v>2</v>
      </c>
      <c r="E30" s="8" t="str">
        <f>SUBSTITUTE(Table1[[#This Row],[Caption]]," ","")</f>
        <v>CorporateA2</v>
      </c>
      <c r="F30" s="3" t="s">
        <v>12</v>
      </c>
      <c r="G30" t="s">
        <v>103</v>
      </c>
      <c r="K30" s="2">
        <v>4</v>
      </c>
      <c r="L30" s="2">
        <v>0.63500000000000001</v>
      </c>
      <c r="M30" s="3" t="s">
        <v>13</v>
      </c>
      <c r="N30" s="2">
        <v>0</v>
      </c>
      <c r="O30" t="str">
        <f>IF(Table1[[#This Row],[LookupTable]]="","",ISNUMBER(MATCH(Table1[[#This Row],[LookupTable]],[1]!Table1[TableName],0)))</f>
        <v/>
      </c>
    </row>
    <row r="31" spans="1:15" ht="15" customHeight="1" x14ac:dyDescent="0.25">
      <c r="B31" s="7" t="s">
        <v>101</v>
      </c>
      <c r="C31" t="str">
        <f>"tblDetail"&amp;Table1[[#This Row],[Friendly Table Name]]</f>
        <v>tblDetailCorporateA</v>
      </c>
      <c r="D31">
        <v>3</v>
      </c>
      <c r="E31" s="8" t="str">
        <f>SUBSTITUTE(Table1[[#This Row],[Caption]]," ","")</f>
        <v>CorporateA3</v>
      </c>
      <c r="F31" s="3" t="s">
        <v>12</v>
      </c>
      <c r="G31" t="s">
        <v>104</v>
      </c>
      <c r="K31" s="2">
        <v>4</v>
      </c>
      <c r="L31" s="2">
        <v>0.63500000000000001</v>
      </c>
      <c r="M31" s="3" t="s">
        <v>13</v>
      </c>
      <c r="N31" s="2">
        <v>0</v>
      </c>
      <c r="O31" t="str">
        <f>IF(Table1[[#This Row],[LookupTable]]="","",ISNUMBER(MATCH(Table1[[#This Row],[LookupTable]],[1]!Table1[TableName],0)))</f>
        <v/>
      </c>
    </row>
    <row r="32" spans="1:15" ht="15" customHeight="1" x14ac:dyDescent="0.25">
      <c r="A32" s="2"/>
      <c r="B32" s="5" t="s">
        <v>66</v>
      </c>
      <c r="C32" s="3" t="str">
        <f>"tblDetail"&amp;Table1[[#This Row],[Friendly Table Name]]</f>
        <v>tblDetailDecommission</v>
      </c>
      <c r="D32" s="3">
        <v>1</v>
      </c>
      <c r="E32" s="3" t="str">
        <f>SUBSTITUTE(Table1[[#This Row],[Caption]]," ","")</f>
        <v>Decommissioned</v>
      </c>
      <c r="F32" s="3" t="s">
        <v>12</v>
      </c>
      <c r="G32" s="3" t="s">
        <v>33</v>
      </c>
      <c r="H32" s="3" t="s">
        <v>13</v>
      </c>
      <c r="I32" s="3" t="s">
        <v>13</v>
      </c>
      <c r="J32" s="3" t="s">
        <v>13</v>
      </c>
      <c r="K32" s="2">
        <v>4</v>
      </c>
      <c r="L32" s="2">
        <v>0.63500000000000001</v>
      </c>
      <c r="M32" s="3" t="s">
        <v>13</v>
      </c>
      <c r="N32" s="2">
        <v>0</v>
      </c>
      <c r="O32" t="str">
        <f>IF(Table1[[#This Row],[LookupTable]]="","",ISNUMBER(MATCH(Table1[[#This Row],[LookupTable]],[1]!Table1[TableName],0)))</f>
        <v/>
      </c>
    </row>
    <row r="33" spans="1:15" ht="15" customHeight="1" x14ac:dyDescent="0.25">
      <c r="A33" s="2"/>
      <c r="B33" s="5" t="s">
        <v>66</v>
      </c>
      <c r="C33" s="3" t="str">
        <f>"tblDetail"&amp;Table1[[#This Row],[Friendly Table Name]]</f>
        <v>tblDetailDecommission</v>
      </c>
      <c r="D33" s="3">
        <v>2</v>
      </c>
      <c r="E33" s="3" t="str">
        <f>SUBSTITUTE(Table1[[#This Row],[Caption]]," ","")</f>
        <v>Scrapped</v>
      </c>
      <c r="F33" s="3" t="s">
        <v>12</v>
      </c>
      <c r="G33" s="3" t="s">
        <v>34</v>
      </c>
      <c r="H33" s="3" t="s">
        <v>13</v>
      </c>
      <c r="I33" s="3" t="s">
        <v>13</v>
      </c>
      <c r="J33" s="3" t="s">
        <v>13</v>
      </c>
      <c r="K33" s="2">
        <v>4</v>
      </c>
      <c r="L33" s="2">
        <v>0.63500000000000001</v>
      </c>
      <c r="M33" s="3" t="s">
        <v>13</v>
      </c>
      <c r="N33" s="2">
        <v>0</v>
      </c>
      <c r="O33" t="str">
        <f>IF(Table1[[#This Row],[LookupTable]]="","",ISNUMBER(MATCH(Table1[[#This Row],[LookupTable]],[1]!Table1[TableName],0)))</f>
        <v/>
      </c>
    </row>
    <row r="34" spans="1:15" ht="15" customHeight="1" x14ac:dyDescent="0.25">
      <c r="A34" s="2"/>
      <c r="B34" s="5" t="s">
        <v>66</v>
      </c>
      <c r="C34" s="3" t="str">
        <f>"tblDetail"&amp;Table1[[#This Row],[Friendly Table Name]]</f>
        <v>tblDetailDecommission</v>
      </c>
      <c r="D34" s="3">
        <v>3</v>
      </c>
      <c r="E34" s="3" t="str">
        <f>SUBSTITUTE(Table1[[#This Row],[Caption]]," ","")</f>
        <v>MOCNumber</v>
      </c>
      <c r="F34" s="3" t="s">
        <v>12</v>
      </c>
      <c r="G34" s="3" t="s">
        <v>81</v>
      </c>
      <c r="H34" s="3" t="s">
        <v>13</v>
      </c>
      <c r="I34" s="3" t="s">
        <v>13</v>
      </c>
      <c r="J34" s="3" t="s">
        <v>13</v>
      </c>
      <c r="K34" s="2">
        <v>4</v>
      </c>
      <c r="L34" s="2">
        <v>0.63500000000000001</v>
      </c>
      <c r="M34" s="3" t="s">
        <v>13</v>
      </c>
      <c r="N34" s="2">
        <v>0</v>
      </c>
      <c r="O34" t="str">
        <f>IF(Table1[[#This Row],[LookupTable]]="","",ISNUMBER(MATCH(Table1[[#This Row],[LookupTable]],[1]!Table1[TableName],0)))</f>
        <v/>
      </c>
    </row>
    <row r="35" spans="1:15" ht="15" customHeight="1" x14ac:dyDescent="0.25">
      <c r="A35" s="2"/>
      <c r="B35" s="5" t="s">
        <v>67</v>
      </c>
      <c r="C35" s="3" t="str">
        <f>"tblDetail"&amp;Table1[[#This Row],[Friendly Table Name]]</f>
        <v>tblDetailDeferral</v>
      </c>
      <c r="D35" s="3">
        <v>1</v>
      </c>
      <c r="E35" s="3" t="str">
        <f>SUBSTITUTE(Table1[[#This Row],[Caption]]," ","")</f>
        <v>DeferralState</v>
      </c>
      <c r="F35" s="3" t="s">
        <v>35</v>
      </c>
      <c r="G35" s="3" t="s">
        <v>76</v>
      </c>
      <c r="H35" s="3" t="s">
        <v>148</v>
      </c>
      <c r="I35" s="3" t="s">
        <v>13</v>
      </c>
      <c r="J35" s="3" t="s">
        <v>13</v>
      </c>
      <c r="K35" s="2">
        <v>4</v>
      </c>
      <c r="L35" s="2">
        <v>0.63500000000000001</v>
      </c>
      <c r="M35" s="3" t="s">
        <v>13</v>
      </c>
      <c r="N35" s="2">
        <v>0</v>
      </c>
      <c r="O35" t="b">
        <f>IF(Table1[[#This Row],[LookupTable]]="","",ISNUMBER(MATCH(Table1[[#This Row],[LookupTable]],[1]!Table1[TableName],0)))</f>
        <v>1</v>
      </c>
    </row>
    <row r="36" spans="1:15" ht="15" customHeight="1" x14ac:dyDescent="0.25">
      <c r="A36" s="2"/>
      <c r="B36" s="5" t="s">
        <v>67</v>
      </c>
      <c r="C36" s="3" t="str">
        <f>"tblDetail"&amp;Table1[[#This Row],[Friendly Table Name]]</f>
        <v>tblDetailDeferral</v>
      </c>
      <c r="D36" s="3">
        <v>2</v>
      </c>
      <c r="E36" s="3" t="str">
        <f>SUBSTITUTE(Table1[[#This Row],[Caption]]," ","")</f>
        <v>DeferralRequired</v>
      </c>
      <c r="F36" s="3" t="s">
        <v>12</v>
      </c>
      <c r="G36" s="3" t="s">
        <v>74</v>
      </c>
      <c r="H36" s="3" t="s">
        <v>13</v>
      </c>
      <c r="I36" s="3" t="s">
        <v>13</v>
      </c>
      <c r="J36" s="3" t="s">
        <v>13</v>
      </c>
      <c r="K36" s="2">
        <v>4</v>
      </c>
      <c r="L36" s="2">
        <v>0.63500000000000001</v>
      </c>
      <c r="M36" s="3" t="s">
        <v>13</v>
      </c>
      <c r="N36" s="2">
        <v>0</v>
      </c>
      <c r="O36" t="str">
        <f>IF(Table1[[#This Row],[LookupTable]]="","",ISNUMBER(MATCH(Table1[[#This Row],[LookupTable]],[1]!Table1[TableName],0)))</f>
        <v/>
      </c>
    </row>
    <row r="37" spans="1:15" ht="15" customHeight="1" x14ac:dyDescent="0.25">
      <c r="A37" s="2"/>
      <c r="B37" s="5" t="s">
        <v>67</v>
      </c>
      <c r="C37" s="3" t="str">
        <f>"tblDetail"&amp;Table1[[#This Row],[Friendly Table Name]]</f>
        <v>tblDetailDeferral</v>
      </c>
      <c r="D37" s="3">
        <v>3</v>
      </c>
      <c r="E37" s="3" t="str">
        <f>SUBSTITUTE(Table1[[#This Row],[Caption]]," ","")</f>
        <v>DeferralStartDate</v>
      </c>
      <c r="F37" s="3" t="s">
        <v>21</v>
      </c>
      <c r="G37" s="3" t="s">
        <v>75</v>
      </c>
      <c r="H37" s="3" t="s">
        <v>13</v>
      </c>
      <c r="I37" s="3" t="s">
        <v>13</v>
      </c>
      <c r="J37" s="3" t="s">
        <v>13</v>
      </c>
      <c r="K37" s="2">
        <v>2</v>
      </c>
      <c r="L37" s="2">
        <v>0.63500000000000001</v>
      </c>
      <c r="M37" s="3" t="s">
        <v>13</v>
      </c>
      <c r="N37" s="2">
        <v>2</v>
      </c>
      <c r="O37" t="str">
        <f>IF(Table1[[#This Row],[LookupTable]]="","",ISNUMBER(MATCH(Table1[[#This Row],[LookupTable]],[1]!Table1[TableName],0)))</f>
        <v/>
      </c>
    </row>
    <row r="38" spans="1:15" ht="15" customHeight="1" x14ac:dyDescent="0.25">
      <c r="A38" s="2"/>
      <c r="B38" s="5" t="s">
        <v>67</v>
      </c>
      <c r="C38" s="3" t="str">
        <f>"tblDetail"&amp;Table1[[#This Row],[Friendly Table Name]]</f>
        <v>tblDetailDeferral</v>
      </c>
      <c r="D38" s="3">
        <v>4</v>
      </c>
      <c r="E38" s="3" t="str">
        <f>SUBSTITUTE(Table1[[#This Row],[Caption]]," ","")</f>
        <v>DeferralEndDate</v>
      </c>
      <c r="F38" s="3" t="s">
        <v>21</v>
      </c>
      <c r="G38" s="3" t="s">
        <v>73</v>
      </c>
      <c r="H38" s="3" t="s">
        <v>13</v>
      </c>
      <c r="I38" s="3" t="s">
        <v>13</v>
      </c>
      <c r="J38" s="3" t="s">
        <v>13</v>
      </c>
      <c r="K38" s="2">
        <v>2</v>
      </c>
      <c r="L38" s="2">
        <v>0.63500000000000001</v>
      </c>
      <c r="M38" s="3" t="s">
        <v>13</v>
      </c>
      <c r="N38" s="2">
        <v>2</v>
      </c>
      <c r="O38" t="str">
        <f>IF(Table1[[#This Row],[LookupTable]]="","",ISNUMBER(MATCH(Table1[[#This Row],[LookupTable]],[1]!Table1[TableName],0)))</f>
        <v/>
      </c>
    </row>
    <row r="39" spans="1:15" ht="15" customHeight="1" x14ac:dyDescent="0.25">
      <c r="B39" s="7" t="s">
        <v>96</v>
      </c>
      <c r="C39" t="str">
        <f>"tblDetail"&amp;Table1[[#This Row],[Friendly Table Name]]</f>
        <v>tblDetailDepotAdditional</v>
      </c>
      <c r="D39">
        <v>1</v>
      </c>
      <c r="E39" s="8" t="str">
        <f>SUBSTITUTE(Table1[[#This Row],[Caption]]," ","")</f>
        <v>GeoNameID</v>
      </c>
      <c r="F39" s="3" t="s">
        <v>35</v>
      </c>
      <c r="G39" t="s">
        <v>97</v>
      </c>
      <c r="K39" s="2">
        <v>2</v>
      </c>
      <c r="L39" s="2">
        <v>0.63500000000000001</v>
      </c>
      <c r="M39" s="3" t="s">
        <v>13</v>
      </c>
      <c r="N39" s="2">
        <v>3</v>
      </c>
      <c r="O39" t="str">
        <f>IF(Table1[[#This Row],[LookupTable]]="","",ISNUMBER(MATCH(Table1[[#This Row],[LookupTable]],[1]!Table1[TableName],0)))</f>
        <v/>
      </c>
    </row>
    <row r="40" spans="1:15" ht="15" customHeight="1" x14ac:dyDescent="0.25">
      <c r="B40" s="7" t="s">
        <v>96</v>
      </c>
      <c r="C40" t="str">
        <f>"tblDetail"&amp;Table1[[#This Row],[Friendly Table Name]]</f>
        <v>tblDetailDepotAdditional</v>
      </c>
      <c r="D40">
        <v>2</v>
      </c>
      <c r="E40" s="8" t="str">
        <f>SUBSTITUTE(Table1[[#This Row],[Caption]]," ","")</f>
        <v>TemperatureMinimum</v>
      </c>
      <c r="F40" s="3" t="s">
        <v>27</v>
      </c>
      <c r="G40" t="s">
        <v>98</v>
      </c>
      <c r="J40" t="s">
        <v>151</v>
      </c>
      <c r="K40" s="2">
        <v>2</v>
      </c>
      <c r="L40" s="2">
        <v>0.63500000000000001</v>
      </c>
      <c r="M40" s="3" t="s">
        <v>13</v>
      </c>
      <c r="N40" s="2">
        <v>3</v>
      </c>
      <c r="O40" t="str">
        <f>IF(Table1[[#This Row],[LookupTable]]="","",ISNUMBER(MATCH(Table1[[#This Row],[LookupTable]],[1]!Table1[TableName],0)))</f>
        <v/>
      </c>
    </row>
    <row r="41" spans="1:15" ht="15" customHeight="1" x14ac:dyDescent="0.25">
      <c r="B41" s="7" t="s">
        <v>96</v>
      </c>
      <c r="C41" t="str">
        <f>"tblDetail"&amp;Table1[[#This Row],[Friendly Table Name]]</f>
        <v>tblDetailDepotAdditional</v>
      </c>
      <c r="D41">
        <v>3</v>
      </c>
      <c r="E41" s="8" t="str">
        <f>SUBSTITUTE(Table1[[#This Row],[Caption]]," ","")</f>
        <v>TemperatureAverage</v>
      </c>
      <c r="F41" s="3" t="s">
        <v>27</v>
      </c>
      <c r="G41" t="s">
        <v>99</v>
      </c>
      <c r="J41" t="s">
        <v>151</v>
      </c>
      <c r="K41" s="2">
        <v>2</v>
      </c>
      <c r="L41" s="2">
        <v>0.63500000000000001</v>
      </c>
      <c r="M41" s="3" t="s">
        <v>13</v>
      </c>
      <c r="N41" s="2">
        <v>3</v>
      </c>
      <c r="O41" t="str">
        <f>IF(Table1[[#This Row],[LookupTable]]="","",ISNUMBER(MATCH(Table1[[#This Row],[LookupTable]],[1]!Table1[TableName],0)))</f>
        <v/>
      </c>
    </row>
    <row r="42" spans="1:15" ht="15" customHeight="1" x14ac:dyDescent="0.25">
      <c r="B42" s="7" t="s">
        <v>96</v>
      </c>
      <c r="C42" t="str">
        <f>"tblDetail"&amp;Table1[[#This Row],[Friendly Table Name]]</f>
        <v>tblDetailDepotAdditional</v>
      </c>
      <c r="D42">
        <v>4</v>
      </c>
      <c r="E42" s="8" t="str">
        <f>SUBSTITUTE(Table1[[#This Row],[Caption]]," ","")</f>
        <v>TemperatureMaximum</v>
      </c>
      <c r="F42" s="3" t="s">
        <v>27</v>
      </c>
      <c r="G42" t="s">
        <v>100</v>
      </c>
      <c r="J42" t="s">
        <v>151</v>
      </c>
      <c r="K42" s="2">
        <v>2</v>
      </c>
      <c r="L42" s="2">
        <v>0.63500000000000001</v>
      </c>
      <c r="M42" s="3" t="s">
        <v>13</v>
      </c>
      <c r="N42" s="2">
        <v>3</v>
      </c>
      <c r="O42" t="str">
        <f>IF(Table1[[#This Row],[LookupTable]]="","",ISNUMBER(MATCH(Table1[[#This Row],[LookupTable]],[1]!Table1[TableName],0)))</f>
        <v/>
      </c>
    </row>
    <row r="43" spans="1:15" ht="15" customHeight="1" x14ac:dyDescent="0.25">
      <c r="A43" s="2"/>
      <c r="B43" s="5" t="s">
        <v>68</v>
      </c>
      <c r="C43" s="3" t="str">
        <f>"tblDetail"&amp;Table1[[#This Row],[Friendly Table Name]]</f>
        <v>tblDetailDimensions</v>
      </c>
      <c r="D43" s="3">
        <v>1</v>
      </c>
      <c r="E43" s="3" t="str">
        <f>SUBSTITUTE(Table1[[#This Row],[Caption]]," ","")</f>
        <v>Diameter</v>
      </c>
      <c r="F43" s="3" t="s">
        <v>27</v>
      </c>
      <c r="G43" s="3" t="s">
        <v>36</v>
      </c>
      <c r="H43" s="3" t="s">
        <v>13</v>
      </c>
      <c r="I43" s="3" t="s">
        <v>13</v>
      </c>
      <c r="J43" s="3" t="s">
        <v>28</v>
      </c>
      <c r="K43" s="2">
        <v>4</v>
      </c>
      <c r="L43" s="2">
        <v>0.63500000000000001</v>
      </c>
      <c r="M43" s="3" t="s">
        <v>37</v>
      </c>
      <c r="N43" s="2">
        <v>3</v>
      </c>
      <c r="O43" t="str">
        <f>IF(Table1[[#This Row],[LookupTable]]="","",ISNUMBER(MATCH(Table1[[#This Row],[LookupTable]],[1]!Table1[TableName],0)))</f>
        <v/>
      </c>
    </row>
    <row r="44" spans="1:15" ht="15" customHeight="1" x14ac:dyDescent="0.25">
      <c r="A44" s="2"/>
      <c r="B44" s="5" t="s">
        <v>68</v>
      </c>
      <c r="C44" s="3" t="str">
        <f>"tblDetail"&amp;Table1[[#This Row],[Friendly Table Name]]</f>
        <v>tblDetailDimensions</v>
      </c>
      <c r="D44" s="3">
        <v>2</v>
      </c>
      <c r="E44" s="3" t="str">
        <f>SUBSTITUTE(Table1[[#This Row],[Caption]]," ","")</f>
        <v>Height</v>
      </c>
      <c r="F44" s="3" t="s">
        <v>27</v>
      </c>
      <c r="G44" s="3" t="s">
        <v>9</v>
      </c>
      <c r="H44" s="3" t="s">
        <v>13</v>
      </c>
      <c r="I44" s="3" t="s">
        <v>13</v>
      </c>
      <c r="J44" s="3" t="s">
        <v>28</v>
      </c>
      <c r="K44" s="2">
        <v>4</v>
      </c>
      <c r="L44" s="2">
        <v>0.63500000000000001</v>
      </c>
      <c r="M44" s="3" t="s">
        <v>37</v>
      </c>
      <c r="N44" s="2">
        <v>3</v>
      </c>
      <c r="O44" t="str">
        <f>IF(Table1[[#This Row],[LookupTable]]="","",ISNUMBER(MATCH(Table1[[#This Row],[LookupTable]],[1]!Table1[TableName],0)))</f>
        <v/>
      </c>
    </row>
    <row r="45" spans="1:15" ht="15" customHeight="1" x14ac:dyDescent="0.25">
      <c r="A45" s="2"/>
      <c r="B45" s="5" t="s">
        <v>68</v>
      </c>
      <c r="C45" s="3" t="str">
        <f>"tblDetail"&amp;Table1[[#This Row],[Friendly Table Name]]</f>
        <v>tblDetailDimensions</v>
      </c>
      <c r="D45" s="3">
        <v>3</v>
      </c>
      <c r="E45" s="3" t="str">
        <f>SUBSTITUTE(Table1[[#This Row],[Caption]]," ","")</f>
        <v>Volume</v>
      </c>
      <c r="F45" s="3" t="s">
        <v>27</v>
      </c>
      <c r="G45" s="3" t="s">
        <v>38</v>
      </c>
      <c r="H45" s="3" t="s">
        <v>13</v>
      </c>
      <c r="I45" s="3" t="s">
        <v>13</v>
      </c>
      <c r="J45" s="3" t="s">
        <v>39</v>
      </c>
      <c r="K45" s="2">
        <v>4</v>
      </c>
      <c r="L45" s="2">
        <v>0.63500000000000001</v>
      </c>
      <c r="M45" s="3" t="s">
        <v>40</v>
      </c>
      <c r="N45" s="2">
        <v>3</v>
      </c>
      <c r="O45" t="str">
        <f>IF(Table1[[#This Row],[LookupTable]]="","",ISNUMBER(MATCH(Table1[[#This Row],[LookupTable]],[1]!Table1[TableName],0)))</f>
        <v/>
      </c>
    </row>
    <row r="46" spans="1:15" ht="15" customHeight="1" x14ac:dyDescent="0.25">
      <c r="B46" s="7" t="s">
        <v>57</v>
      </c>
      <c r="C46" t="str">
        <f>"tblDetail"&amp;Table1[[#This Row],[Friendly Table Name]]</f>
        <v>tblDetailFloatingRoof</v>
      </c>
      <c r="D46">
        <v>1</v>
      </c>
      <c r="E46" s="8" t="str">
        <f>SUBSTITUTE(Table1[[#This Row],[Caption]]," ","")</f>
        <v>RoofType</v>
      </c>
      <c r="F46" s="3" t="s">
        <v>35</v>
      </c>
      <c r="G46" t="s">
        <v>83</v>
      </c>
      <c r="H46" t="s">
        <v>152</v>
      </c>
      <c r="K46" s="2">
        <v>4</v>
      </c>
      <c r="L46" s="2">
        <v>0.63500000000000001</v>
      </c>
      <c r="M46" s="3" t="s">
        <v>13</v>
      </c>
      <c r="N46" s="2">
        <v>0</v>
      </c>
      <c r="O46" t="b">
        <f>IF(Table1[[#This Row],[LookupTable]]="","",ISNUMBER(MATCH(Table1[[#This Row],[LookupTable]],[1]!Table1[TableName],0)))</f>
        <v>1</v>
      </c>
    </row>
    <row r="47" spans="1:15" ht="15" customHeight="1" x14ac:dyDescent="0.25">
      <c r="B47" s="7" t="s">
        <v>57</v>
      </c>
      <c r="C47" t="str">
        <f>"tblDetail"&amp;Table1[[#This Row],[Friendly Table Name]]</f>
        <v>tblDetailFloatingRoof</v>
      </c>
      <c r="D47">
        <v>2</v>
      </c>
      <c r="E47" s="8" t="str">
        <f>SUBSTITUTE(Table1[[#This Row],[Caption]]," ","")</f>
        <v>PrimarySeal</v>
      </c>
      <c r="F47" s="3" t="s">
        <v>35</v>
      </c>
      <c r="G47" t="s">
        <v>105</v>
      </c>
      <c r="H47" t="s">
        <v>153</v>
      </c>
      <c r="K47" s="2">
        <v>4</v>
      </c>
      <c r="L47" s="2">
        <v>0.63500000000000001</v>
      </c>
      <c r="M47" s="3" t="s">
        <v>13</v>
      </c>
      <c r="N47" s="2">
        <v>0</v>
      </c>
      <c r="O47" t="b">
        <f>IF(Table1[[#This Row],[LookupTable]]="","",ISNUMBER(MATCH(Table1[[#This Row],[LookupTable]],[1]!Table1[TableName],0)))</f>
        <v>1</v>
      </c>
    </row>
    <row r="48" spans="1:15" ht="15" customHeight="1" x14ac:dyDescent="0.25">
      <c r="B48" s="7" t="s">
        <v>57</v>
      </c>
      <c r="C48" t="str">
        <f>"tblDetail"&amp;Table1[[#This Row],[Friendly Table Name]]</f>
        <v>tblDetailFloatingRoof</v>
      </c>
      <c r="D48">
        <v>3</v>
      </c>
      <c r="E48" s="8" t="str">
        <f>SUBSTITUTE(Table1[[#This Row],[Caption]]," ","")</f>
        <v>SecondarySeal</v>
      </c>
      <c r="F48" s="3" t="s">
        <v>35</v>
      </c>
      <c r="G48" t="s">
        <v>106</v>
      </c>
      <c r="H48" t="s">
        <v>153</v>
      </c>
      <c r="K48" s="2">
        <v>4</v>
      </c>
      <c r="L48" s="2">
        <v>0.63500000000000001</v>
      </c>
      <c r="M48" s="3" t="s">
        <v>13</v>
      </c>
      <c r="N48" s="2">
        <v>0</v>
      </c>
      <c r="O48" t="b">
        <f>IF(Table1[[#This Row],[LookupTable]]="","",ISNUMBER(MATCH(Table1[[#This Row],[LookupTable]],[1]!Table1[TableName],0)))</f>
        <v>1</v>
      </c>
    </row>
    <row r="49" spans="1:15" ht="15" customHeight="1" x14ac:dyDescent="0.25">
      <c r="B49" s="7" t="s">
        <v>107</v>
      </c>
      <c r="C49" t="str">
        <f>"tblDetail"&amp;Table1[[#This Row],[Friendly Table Name]]</f>
        <v>tblDetailKPI</v>
      </c>
      <c r="D49">
        <v>1</v>
      </c>
      <c r="E49" s="8" t="str">
        <f>SUBSTITUTE(Table1[[#This Row],[Caption]]," ","")</f>
        <v>SignedOffDate</v>
      </c>
      <c r="F49" t="s">
        <v>21</v>
      </c>
      <c r="G49" t="s">
        <v>108</v>
      </c>
      <c r="K49" s="2">
        <v>2</v>
      </c>
      <c r="L49" s="2">
        <v>0.63500000000000001</v>
      </c>
      <c r="M49" s="3" t="s">
        <v>13</v>
      </c>
      <c r="N49" s="2">
        <v>2</v>
      </c>
      <c r="O49" t="str">
        <f>IF(Table1[[#This Row],[LookupTable]]="","",ISNUMBER(MATCH(Table1[[#This Row],[LookupTable]],[1]!Table1[TableName],0)))</f>
        <v/>
      </c>
    </row>
    <row r="50" spans="1:15" ht="15" customHeight="1" x14ac:dyDescent="0.25">
      <c r="B50" s="7" t="s">
        <v>107</v>
      </c>
      <c r="C50" t="str">
        <f>"tblDetail"&amp;Table1[[#This Row],[Friendly Table Name]]</f>
        <v>tblDetailKPI</v>
      </c>
      <c r="D50">
        <v>2</v>
      </c>
      <c r="E50" s="8" t="str">
        <f>SUBSTITUTE(Table1[[#This Row],[Caption]]," ","")</f>
        <v>KPIPlan</v>
      </c>
      <c r="F50" t="s">
        <v>35</v>
      </c>
      <c r="G50" t="s">
        <v>109</v>
      </c>
      <c r="H50" t="s">
        <v>154</v>
      </c>
      <c r="K50" s="2">
        <v>4</v>
      </c>
      <c r="L50" s="2">
        <v>0.63500000000000001</v>
      </c>
      <c r="M50" s="3" t="s">
        <v>13</v>
      </c>
      <c r="N50" s="2">
        <v>0</v>
      </c>
      <c r="O50" t="b">
        <f>IF(Table1[[#This Row],[LookupTable]]="","",ISNUMBER(MATCH(Table1[[#This Row],[LookupTable]],[1]!Table1[TableName],0)))</f>
        <v>1</v>
      </c>
    </row>
    <row r="51" spans="1:15" ht="15" customHeight="1" x14ac:dyDescent="0.25">
      <c r="B51" s="7" t="s">
        <v>107</v>
      </c>
      <c r="C51" t="str">
        <f>"tblDetail"&amp;Table1[[#This Row],[Friendly Table Name]]</f>
        <v>tblDetailKPI</v>
      </c>
      <c r="D51">
        <v>3</v>
      </c>
      <c r="E51" s="8" t="str">
        <f>SUBSTITUTE(Table1[[#This Row],[Caption]]," ","")</f>
        <v>KPICategory</v>
      </c>
      <c r="F51" t="s">
        <v>35</v>
      </c>
      <c r="G51" t="s">
        <v>110</v>
      </c>
      <c r="H51" t="s">
        <v>156</v>
      </c>
      <c r="K51" s="2">
        <v>4</v>
      </c>
      <c r="L51" s="2">
        <v>0.63500000000000001</v>
      </c>
      <c r="M51" s="3" t="s">
        <v>13</v>
      </c>
      <c r="N51" s="2">
        <v>0</v>
      </c>
      <c r="O51" t="b">
        <f>IF(Table1[[#This Row],[LookupTable]]="","",ISNUMBER(MATCH(Table1[[#This Row],[LookupTable]],[1]!Table1[TableName],0)))</f>
        <v>1</v>
      </c>
    </row>
    <row r="52" spans="1:15" ht="15" customHeight="1" x14ac:dyDescent="0.25">
      <c r="B52" s="7" t="s">
        <v>107</v>
      </c>
      <c r="C52" t="str">
        <f>"tblDetail"&amp;Table1[[#This Row],[Friendly Table Name]]</f>
        <v>tblDetailKPI</v>
      </c>
      <c r="D52">
        <v>4</v>
      </c>
      <c r="E52" s="8" t="str">
        <f>SUBSTITUTE(Table1[[#This Row],[Caption]]," ","")</f>
        <v>KPIStatus</v>
      </c>
      <c r="F52" t="s">
        <v>35</v>
      </c>
      <c r="G52" t="s">
        <v>111</v>
      </c>
      <c r="H52" t="s">
        <v>155</v>
      </c>
      <c r="K52" s="2">
        <v>4</v>
      </c>
      <c r="L52" s="2">
        <v>0.63500000000000001</v>
      </c>
      <c r="M52" s="3" t="s">
        <v>13</v>
      </c>
      <c r="N52" s="2">
        <v>0</v>
      </c>
      <c r="O52" t="b">
        <f>IF(Table1[[#This Row],[LookupTable]]="","",ISNUMBER(MATCH(Table1[[#This Row],[LookupTable]],[1]!Table1[TableName],0)))</f>
        <v>1</v>
      </c>
    </row>
    <row r="53" spans="1:15" ht="15" customHeight="1" x14ac:dyDescent="0.25">
      <c r="B53" s="7" t="s">
        <v>107</v>
      </c>
      <c r="C53" t="str">
        <f>"tblDetail"&amp;Table1[[#This Row],[Friendly Table Name]]</f>
        <v>tblDetailKPI</v>
      </c>
      <c r="D53">
        <v>5</v>
      </c>
      <c r="E53" s="8" t="str">
        <f>SUBSTITUTE(Table1[[#This Row],[Caption]]," ","")</f>
        <v>KPICatchup</v>
      </c>
      <c r="F53" t="s">
        <v>113</v>
      </c>
      <c r="G53" t="s">
        <v>112</v>
      </c>
      <c r="K53" s="2">
        <v>4</v>
      </c>
      <c r="L53" s="2">
        <v>0.63500000000000001</v>
      </c>
      <c r="M53" s="3" t="s">
        <v>13</v>
      </c>
      <c r="N53" s="2">
        <v>0</v>
      </c>
      <c r="O53" t="str">
        <f>IF(Table1[[#This Row],[LookupTable]]="","",ISNUMBER(MATCH(Table1[[#This Row],[LookupTable]],[1]!Table1[TableName],0)))</f>
        <v/>
      </c>
    </row>
    <row r="54" spans="1:15" ht="15" customHeight="1" x14ac:dyDescent="0.25">
      <c r="B54" s="7" t="s">
        <v>107</v>
      </c>
      <c r="C54" t="str">
        <f>"tblDetail"&amp;Table1[[#This Row],[Friendly Table Name]]</f>
        <v>tblDetailKPI</v>
      </c>
      <c r="D54">
        <v>6</v>
      </c>
      <c r="E54" s="8" t="str">
        <f>SUBSTITUTE(Table1[[#This Row],[Caption]]," ","")</f>
        <v>KPIHasPrereqs</v>
      </c>
      <c r="F54" t="s">
        <v>113</v>
      </c>
      <c r="G54" t="s">
        <v>114</v>
      </c>
      <c r="K54" s="2">
        <v>4</v>
      </c>
      <c r="L54" s="2">
        <v>0.63500000000000001</v>
      </c>
      <c r="M54" s="3" t="s">
        <v>13</v>
      </c>
      <c r="N54" s="2">
        <v>0</v>
      </c>
      <c r="O54" t="str">
        <f>IF(Table1[[#This Row],[LookupTable]]="","",ISNUMBER(MATCH(Table1[[#This Row],[LookupTable]],[1]!Table1[TableName],0)))</f>
        <v/>
      </c>
    </row>
    <row r="55" spans="1:15" ht="15" customHeight="1" x14ac:dyDescent="0.25">
      <c r="B55" s="7" t="s">
        <v>107</v>
      </c>
      <c r="C55" t="str">
        <f>"tblDetail"&amp;Table1[[#This Row],[Friendly Table Name]]</f>
        <v>tblDetailKPI</v>
      </c>
      <c r="D55">
        <v>7</v>
      </c>
      <c r="E55" s="8" t="str">
        <f>SUBSTITUTE(Table1[[#This Row],[Caption]]," ","")</f>
        <v>RoCStart</v>
      </c>
      <c r="F55" t="s">
        <v>21</v>
      </c>
      <c r="G55" t="s">
        <v>115</v>
      </c>
      <c r="K55" s="2">
        <v>2</v>
      </c>
      <c r="L55" s="2">
        <v>0.63500000000000001</v>
      </c>
      <c r="M55" s="3" t="s">
        <v>13</v>
      </c>
      <c r="N55" s="2">
        <v>2</v>
      </c>
      <c r="O55" t="str">
        <f>IF(Table1[[#This Row],[LookupTable]]="","",ISNUMBER(MATCH(Table1[[#This Row],[LookupTable]],[1]!Table1[TableName],0)))</f>
        <v/>
      </c>
    </row>
    <row r="56" spans="1:15" ht="15" customHeight="1" x14ac:dyDescent="0.25">
      <c r="B56" s="7" t="s">
        <v>107</v>
      </c>
      <c r="C56" t="str">
        <f>"tblDetail"&amp;Table1[[#This Row],[Friendly Table Name]]</f>
        <v>tblDetailKPI</v>
      </c>
      <c r="D56">
        <v>8</v>
      </c>
      <c r="E56" s="8" t="str">
        <f>SUBSTITUTE(Table1[[#This Row],[Caption]]," ","")</f>
        <v>RoCEnd</v>
      </c>
      <c r="F56" t="s">
        <v>21</v>
      </c>
      <c r="G56" t="s">
        <v>116</v>
      </c>
      <c r="K56" s="2">
        <v>2</v>
      </c>
      <c r="L56" s="2">
        <v>0.63500000000000001</v>
      </c>
      <c r="M56" s="3" t="s">
        <v>13</v>
      </c>
      <c r="N56" s="2">
        <v>2</v>
      </c>
      <c r="O56" t="str">
        <f>IF(Table1[[#This Row],[LookupTable]]="","",ISNUMBER(MATCH(Table1[[#This Row],[LookupTable]],[1]!Table1[TableName],0)))</f>
        <v/>
      </c>
    </row>
    <row r="57" spans="1:15" ht="15" customHeight="1" x14ac:dyDescent="0.25">
      <c r="B57" s="7" t="s">
        <v>117</v>
      </c>
      <c r="C57" t="str">
        <f>"tblDetail"&amp;Table1[[#This Row],[Friendly Table Name]]</f>
        <v>tblDetailMaintHistory</v>
      </c>
      <c r="D57">
        <v>1</v>
      </c>
      <c r="E57" s="8" t="str">
        <f>SUBSTITUTE(Table1[[#This Row],[Caption]]," ","")</f>
        <v>MaintType</v>
      </c>
      <c r="F57" t="s">
        <v>35</v>
      </c>
      <c r="G57" t="s">
        <v>118</v>
      </c>
      <c r="H57" t="s">
        <v>157</v>
      </c>
      <c r="K57" s="2">
        <v>4</v>
      </c>
      <c r="L57" s="2">
        <v>0.63500000000000001</v>
      </c>
      <c r="M57" s="3" t="s">
        <v>13</v>
      </c>
      <c r="N57" s="2">
        <v>0</v>
      </c>
      <c r="O57" t="b">
        <f>IF(Table1[[#This Row],[LookupTable]]="","",ISNUMBER(MATCH(Table1[[#This Row],[LookupTable]],[1]!Table1[TableName],0)))</f>
        <v>1</v>
      </c>
    </row>
    <row r="58" spans="1:15" ht="15" customHeight="1" x14ac:dyDescent="0.25">
      <c r="A58" s="2"/>
      <c r="B58" s="5" t="s">
        <v>69</v>
      </c>
      <c r="C58" s="3" t="str">
        <f>"tblDetail"&amp;Table1[[#This Row],[Friendly Table Name]]</f>
        <v>tblDetailMaintPlan</v>
      </c>
      <c r="D58" s="3">
        <v>1</v>
      </c>
      <c r="E58" s="3" t="str">
        <f>SUBSTITUTE(Table1[[#This Row],[Caption]]," ","")</f>
        <v>Group</v>
      </c>
      <c r="F58" s="3" t="s">
        <v>35</v>
      </c>
      <c r="G58" s="3" t="s">
        <v>43</v>
      </c>
      <c r="H58" s="3" t="s">
        <v>149</v>
      </c>
      <c r="I58" s="3" t="s">
        <v>13</v>
      </c>
      <c r="J58" s="3" t="s">
        <v>13</v>
      </c>
      <c r="K58" s="2">
        <v>4</v>
      </c>
      <c r="L58" s="2">
        <v>0.63500000000000001</v>
      </c>
      <c r="M58" s="3" t="s">
        <v>13</v>
      </c>
      <c r="N58" s="2">
        <v>0</v>
      </c>
      <c r="O58" t="b">
        <f>IF(Table1[[#This Row],[LookupTable]]="","",ISNUMBER(MATCH(Table1[[#This Row],[LookupTable]],[1]!Table1[TableName],0)))</f>
        <v>1</v>
      </c>
    </row>
    <row r="59" spans="1:15" ht="15" customHeight="1" x14ac:dyDescent="0.25">
      <c r="A59" s="2"/>
      <c r="B59" s="5" t="s">
        <v>69</v>
      </c>
      <c r="C59" s="3" t="str">
        <f>"tblDetail"&amp;Table1[[#This Row],[Friendly Table Name]]</f>
        <v>tblDetailMaintPlan</v>
      </c>
      <c r="D59" s="3">
        <v>2</v>
      </c>
      <c r="E59" s="10" t="str">
        <f>SUBSTITUTE(Table1[[#This Row],[Caption]]," ","")</f>
        <v>Status</v>
      </c>
      <c r="F59" s="3" t="s">
        <v>35</v>
      </c>
      <c r="G59" s="3" t="s">
        <v>159</v>
      </c>
      <c r="H59" s="3" t="s">
        <v>160</v>
      </c>
      <c r="I59" s="3"/>
      <c r="J59" s="3"/>
      <c r="K59" s="2">
        <v>4</v>
      </c>
      <c r="L59" s="2">
        <v>0.63500000000000001</v>
      </c>
      <c r="M59" s="3" t="s">
        <v>13</v>
      </c>
      <c r="N59" s="2">
        <v>0</v>
      </c>
      <c r="O59" s="8" t="b">
        <f>IF(Table1[[#This Row],[LookupTable]]="","",ISNUMBER(MATCH(Table1[[#This Row],[LookupTable]],[1]!Table1[TableName],0)))</f>
        <v>1</v>
      </c>
    </row>
    <row r="60" spans="1:15" ht="15" customHeight="1" x14ac:dyDescent="0.25">
      <c r="A60" s="2"/>
      <c r="B60" s="5" t="s">
        <v>69</v>
      </c>
      <c r="C60" s="3" t="str">
        <f>"tblDetail"&amp;Table1[[#This Row],[Friendly Table Name]]</f>
        <v>tblDetailMaintPlan</v>
      </c>
      <c r="D60" s="3">
        <v>3</v>
      </c>
      <c r="E60" s="3" t="str">
        <f>SUBSTITUTE(Table1[[#This Row],[Caption]]," ","")</f>
        <v>PlanStart</v>
      </c>
      <c r="F60" s="3" t="s">
        <v>21</v>
      </c>
      <c r="G60" s="3" t="s">
        <v>45</v>
      </c>
      <c r="H60" s="3" t="s">
        <v>13</v>
      </c>
      <c r="I60" s="3" t="s">
        <v>13</v>
      </c>
      <c r="J60" s="3" t="s">
        <v>13</v>
      </c>
      <c r="K60" s="2">
        <v>2</v>
      </c>
      <c r="L60" s="2">
        <v>0.63500000000000001</v>
      </c>
      <c r="M60" s="3" t="s">
        <v>13</v>
      </c>
      <c r="N60" s="2">
        <v>2</v>
      </c>
      <c r="O60" t="str">
        <f>IF(Table1[[#This Row],[LookupTable]]="","",ISNUMBER(MATCH(Table1[[#This Row],[LookupTable]],[1]!Table1[TableName],0)))</f>
        <v/>
      </c>
    </row>
    <row r="61" spans="1:15" ht="15" customHeight="1" x14ac:dyDescent="0.25">
      <c r="A61" s="2"/>
      <c r="B61" s="5" t="s">
        <v>69</v>
      </c>
      <c r="C61" s="3" t="str">
        <f>"tblDetail"&amp;Table1[[#This Row],[Friendly Table Name]]</f>
        <v>tblDetailMaintPlan</v>
      </c>
      <c r="D61" s="3">
        <v>4</v>
      </c>
      <c r="E61" s="3" t="str">
        <f>SUBSTITUTE(Table1[[#This Row],[Caption]]," ","")</f>
        <v>PlanEnd</v>
      </c>
      <c r="F61" s="3" t="s">
        <v>21</v>
      </c>
      <c r="G61" s="3" t="s">
        <v>44</v>
      </c>
      <c r="H61" s="3" t="s">
        <v>13</v>
      </c>
      <c r="I61" s="3" t="s">
        <v>13</v>
      </c>
      <c r="J61" s="3" t="s">
        <v>13</v>
      </c>
      <c r="K61" s="2">
        <v>2</v>
      </c>
      <c r="L61" s="2">
        <v>0.63500000000000001</v>
      </c>
      <c r="M61" s="3" t="s">
        <v>13</v>
      </c>
      <c r="N61" s="2">
        <v>2</v>
      </c>
      <c r="O61" t="str">
        <f>IF(Table1[[#This Row],[LookupTable]]="","",ISNUMBER(MATCH(Table1[[#This Row],[LookupTable]],[1]!Table1[TableName],0)))</f>
        <v/>
      </c>
    </row>
    <row r="62" spans="1:15" ht="15" customHeight="1" x14ac:dyDescent="0.25">
      <c r="A62" s="2"/>
      <c r="B62" s="5" t="s">
        <v>69</v>
      </c>
      <c r="C62" s="3" t="str">
        <f>"tblDetail"&amp;Table1[[#This Row],[Friendly Table Name]]</f>
        <v>tblDetailMaintPlan</v>
      </c>
      <c r="D62" s="3">
        <v>5</v>
      </c>
      <c r="E62" s="3" t="str">
        <f>SUBSTITUTE(Table1[[#This Row],[Caption]]," ","")</f>
        <v>ActualStart</v>
      </c>
      <c r="F62" s="3" t="s">
        <v>21</v>
      </c>
      <c r="G62" s="3" t="s">
        <v>42</v>
      </c>
      <c r="H62" s="3" t="s">
        <v>13</v>
      </c>
      <c r="I62" s="3" t="s">
        <v>13</v>
      </c>
      <c r="J62" s="3" t="s">
        <v>13</v>
      </c>
      <c r="K62" s="2">
        <v>2</v>
      </c>
      <c r="L62" s="2">
        <v>0.63500000000000001</v>
      </c>
      <c r="M62" s="3" t="s">
        <v>13</v>
      </c>
      <c r="N62" s="2">
        <v>2</v>
      </c>
      <c r="O62" t="str">
        <f>IF(Table1[[#This Row],[LookupTable]]="","",ISNUMBER(MATCH(Table1[[#This Row],[LookupTable]],[1]!Table1[TableName],0)))</f>
        <v/>
      </c>
    </row>
    <row r="63" spans="1:15" ht="15" customHeight="1" x14ac:dyDescent="0.25">
      <c r="A63" s="2"/>
      <c r="B63" s="5" t="s">
        <v>69</v>
      </c>
      <c r="C63" s="3" t="str">
        <f>"tblDetail"&amp;Table1[[#This Row],[Friendly Table Name]]</f>
        <v>tblDetailMaintPlan</v>
      </c>
      <c r="D63" s="3">
        <v>6</v>
      </c>
      <c r="E63" s="3" t="str">
        <f>SUBSTITUTE(Table1[[#This Row],[Caption]]," ","")</f>
        <v>ActualEnd</v>
      </c>
      <c r="F63" s="3" t="s">
        <v>21</v>
      </c>
      <c r="G63" s="3" t="s">
        <v>41</v>
      </c>
      <c r="H63" s="3" t="s">
        <v>13</v>
      </c>
      <c r="I63" s="3" t="s">
        <v>13</v>
      </c>
      <c r="J63" s="3" t="s">
        <v>13</v>
      </c>
      <c r="K63" s="2">
        <v>2</v>
      </c>
      <c r="L63" s="2">
        <v>0.63500000000000001</v>
      </c>
      <c r="M63" s="3" t="s">
        <v>13</v>
      </c>
      <c r="N63" s="2">
        <v>2</v>
      </c>
      <c r="O63" t="str">
        <f>IF(Table1[[#This Row],[LookupTable]]="","",ISNUMBER(MATCH(Table1[[#This Row],[LookupTable]],[1]!Table1[TableName],0)))</f>
        <v/>
      </c>
    </row>
    <row r="64" spans="1:15" ht="15" customHeight="1" x14ac:dyDescent="0.25">
      <c r="B64" s="7" t="s">
        <v>119</v>
      </c>
      <c r="C64" t="str">
        <f>"tblDetail"&amp;Table1[[#This Row],[Friendly Table Name]]</f>
        <v>tblDetailPainting</v>
      </c>
      <c r="D64">
        <v>1</v>
      </c>
      <c r="E64" s="8" t="str">
        <f>SUBSTITUTE(Table1[[#This Row],[Caption]]," ","")</f>
        <v>RoofColor</v>
      </c>
      <c r="F64" s="3" t="s">
        <v>12</v>
      </c>
      <c r="G64" t="s">
        <v>120</v>
      </c>
      <c r="K64" s="2">
        <v>4</v>
      </c>
      <c r="L64" s="2">
        <v>0.63500000000000001</v>
      </c>
      <c r="M64" s="3" t="s">
        <v>13</v>
      </c>
      <c r="N64" s="2">
        <v>0</v>
      </c>
      <c r="O64" t="str">
        <f>IF(Table1[[#This Row],[LookupTable]]="","",ISNUMBER(MATCH(Table1[[#This Row],[LookupTable]],[1]!Table1[TableName],0)))</f>
        <v/>
      </c>
    </row>
    <row r="65" spans="1:15" ht="15" customHeight="1" x14ac:dyDescent="0.25">
      <c r="B65" s="7" t="s">
        <v>119</v>
      </c>
      <c r="C65" t="str">
        <f>"tblDetail"&amp;Table1[[#This Row],[Friendly Table Name]]</f>
        <v>tblDetailPainting</v>
      </c>
      <c r="D65">
        <v>2</v>
      </c>
      <c r="E65" s="8" t="str">
        <f>SUBSTITUTE(Table1[[#This Row],[Caption]]," ","")</f>
        <v>RoofCondition</v>
      </c>
      <c r="F65" s="3" t="s">
        <v>12</v>
      </c>
      <c r="G65" t="s">
        <v>121</v>
      </c>
      <c r="K65" s="2">
        <v>4</v>
      </c>
      <c r="L65" s="2">
        <v>0.63500000000000001</v>
      </c>
      <c r="M65" s="3" t="s">
        <v>13</v>
      </c>
      <c r="N65" s="2">
        <v>0</v>
      </c>
      <c r="O65" t="str">
        <f>IF(Table1[[#This Row],[LookupTable]]="","",ISNUMBER(MATCH(Table1[[#This Row],[LookupTable]],[1]!Table1[TableName],0)))</f>
        <v/>
      </c>
    </row>
    <row r="66" spans="1:15" ht="15" customHeight="1" x14ac:dyDescent="0.25">
      <c r="B66" s="7" t="s">
        <v>119</v>
      </c>
      <c r="C66" t="str">
        <f>"tblDetail"&amp;Table1[[#This Row],[Friendly Table Name]]</f>
        <v>tblDetailPainting</v>
      </c>
      <c r="D66">
        <v>3</v>
      </c>
      <c r="E66" s="8" t="str">
        <f>SUBSTITUTE(Table1[[#This Row],[Caption]]," ","")</f>
        <v>ShellColor</v>
      </c>
      <c r="F66" s="3" t="s">
        <v>12</v>
      </c>
      <c r="G66" t="s">
        <v>122</v>
      </c>
      <c r="K66" s="2">
        <v>4</v>
      </c>
      <c r="L66" s="2">
        <v>0.63500000000000001</v>
      </c>
      <c r="M66" s="3" t="s">
        <v>13</v>
      </c>
      <c r="N66" s="2">
        <v>0</v>
      </c>
      <c r="O66" t="str">
        <f>IF(Table1[[#This Row],[LookupTable]]="","",ISNUMBER(MATCH(Table1[[#This Row],[LookupTable]],[1]!Table1[TableName],0)))</f>
        <v/>
      </c>
    </row>
    <row r="67" spans="1:15" ht="15" customHeight="1" x14ac:dyDescent="0.25">
      <c r="B67" s="7" t="s">
        <v>119</v>
      </c>
      <c r="C67" t="str">
        <f>"tblDetail"&amp;Table1[[#This Row],[Friendly Table Name]]</f>
        <v>tblDetailPainting</v>
      </c>
      <c r="D67">
        <v>4</v>
      </c>
      <c r="E67" s="8" t="str">
        <f>SUBSTITUTE(Table1[[#This Row],[Caption]]," ","")</f>
        <v>ShellConditionExterior</v>
      </c>
      <c r="F67" s="3" t="s">
        <v>12</v>
      </c>
      <c r="G67" t="s">
        <v>123</v>
      </c>
      <c r="K67" s="2">
        <v>4</v>
      </c>
      <c r="L67" s="2">
        <v>0.63500000000000001</v>
      </c>
      <c r="M67" s="3" t="s">
        <v>13</v>
      </c>
      <c r="N67" s="2">
        <v>0</v>
      </c>
      <c r="O67" t="str">
        <f>IF(Table1[[#This Row],[LookupTable]]="","",ISNUMBER(MATCH(Table1[[#This Row],[LookupTable]],[1]!Table1[TableName],0)))</f>
        <v/>
      </c>
    </row>
    <row r="68" spans="1:15" ht="15" customHeight="1" x14ac:dyDescent="0.25">
      <c r="B68" s="7" t="s">
        <v>119</v>
      </c>
      <c r="C68" t="str">
        <f>"tblDetail"&amp;Table1[[#This Row],[Friendly Table Name]]</f>
        <v>tblDetailPainting</v>
      </c>
      <c r="D68">
        <v>5</v>
      </c>
      <c r="E68" s="8" t="str">
        <f>SUBSTITUTE(Table1[[#This Row],[Caption]]," ","")</f>
        <v>ShellConditionInterior</v>
      </c>
      <c r="F68" s="3" t="s">
        <v>12</v>
      </c>
      <c r="G68" t="s">
        <v>124</v>
      </c>
      <c r="K68" s="2">
        <v>4</v>
      </c>
      <c r="L68" s="2">
        <v>0.63500000000000001</v>
      </c>
      <c r="M68" s="3" t="s">
        <v>13</v>
      </c>
      <c r="N68" s="2">
        <v>0</v>
      </c>
      <c r="O68" t="str">
        <f>IF(Table1[[#This Row],[LookupTable]]="","",ISNUMBER(MATCH(Table1[[#This Row],[LookupTable]],[1]!Table1[TableName],0)))</f>
        <v/>
      </c>
    </row>
    <row r="69" spans="1:15" ht="15" customHeight="1" x14ac:dyDescent="0.25">
      <c r="A69" s="2"/>
      <c r="B69" s="5" t="s">
        <v>70</v>
      </c>
      <c r="C69" s="3" t="str">
        <f>"tblDetail"&amp;Table1[[#This Row],[Friendly Table Name]]</f>
        <v>tblDetailRiskRank</v>
      </c>
      <c r="D69" s="3">
        <v>1</v>
      </c>
      <c r="E69" s="3" t="str">
        <f>SUBSTITUTE(Table1[[#This Row],[Caption]]," ","")</f>
        <v>RiskRankingValue</v>
      </c>
      <c r="F69" s="3" t="s">
        <v>35</v>
      </c>
      <c r="G69" s="3" t="s">
        <v>78</v>
      </c>
      <c r="H69" s="3" t="s">
        <v>13</v>
      </c>
      <c r="I69" s="3" t="s">
        <v>13</v>
      </c>
      <c r="J69" s="3" t="s">
        <v>13</v>
      </c>
      <c r="K69" s="2">
        <v>2</v>
      </c>
      <c r="L69" s="2">
        <v>0.63500000000000001</v>
      </c>
      <c r="M69" s="3" t="s">
        <v>13</v>
      </c>
      <c r="N69" s="2">
        <v>3</v>
      </c>
      <c r="O69" t="str">
        <f>IF(Table1[[#This Row],[LookupTable]]="","",ISNUMBER(MATCH(Table1[[#This Row],[LookupTable]],[1]!Table1[TableName],0)))</f>
        <v/>
      </c>
    </row>
    <row r="70" spans="1:15" ht="15" customHeight="1" x14ac:dyDescent="0.25">
      <c r="A70" s="2"/>
      <c r="B70" s="5" t="s">
        <v>70</v>
      </c>
      <c r="C70" s="3" t="str">
        <f>"tblDetail"&amp;Table1[[#This Row],[Friendly Table Name]]</f>
        <v>tblDetailRiskRank</v>
      </c>
      <c r="D70" s="3">
        <v>2</v>
      </c>
      <c r="E70" s="3" t="str">
        <f>SUBSTITUTE(Table1[[#This Row],[Caption]]," ","")</f>
        <v>RiskRankDescription</v>
      </c>
      <c r="F70" s="3" t="s">
        <v>35</v>
      </c>
      <c r="G70" s="3" t="s">
        <v>77</v>
      </c>
      <c r="H70" s="3" t="s">
        <v>46</v>
      </c>
      <c r="I70" s="3" t="s">
        <v>13</v>
      </c>
      <c r="J70" s="3" t="s">
        <v>13</v>
      </c>
      <c r="K70" s="2">
        <v>4</v>
      </c>
      <c r="L70" s="2">
        <v>0.63500000000000001</v>
      </c>
      <c r="M70" s="3" t="s">
        <v>13</v>
      </c>
      <c r="N70" s="2">
        <v>0</v>
      </c>
      <c r="O70" t="b">
        <f>IF(Table1[[#This Row],[LookupTable]]="","",ISNUMBER(MATCH(Table1[[#This Row],[LookupTable]],[1]!Table1[TableName],0)))</f>
        <v>1</v>
      </c>
    </row>
    <row r="71" spans="1:15" ht="15" customHeight="1" x14ac:dyDescent="0.25">
      <c r="A71" s="2"/>
      <c r="B71" s="5" t="s">
        <v>71</v>
      </c>
      <c r="C71" s="3" t="str">
        <f>"tblDetail"&amp;Table1[[#This Row],[Friendly Table Name]]</f>
        <v>tblDetailSAP</v>
      </c>
      <c r="D71" s="3">
        <v>1</v>
      </c>
      <c r="E71" s="3" t="str">
        <f>SUBSTITUTE(Table1[[#This Row],[Caption]]," ","")</f>
        <v>FLOC</v>
      </c>
      <c r="F71" s="3" t="s">
        <v>12</v>
      </c>
      <c r="G71" s="3" t="s">
        <v>49</v>
      </c>
      <c r="H71" s="3" t="s">
        <v>13</v>
      </c>
      <c r="I71" s="3" t="s">
        <v>13</v>
      </c>
      <c r="J71" s="3" t="s">
        <v>13</v>
      </c>
      <c r="K71" s="2">
        <v>4</v>
      </c>
      <c r="L71" s="2">
        <v>0.63500000000000001</v>
      </c>
      <c r="M71" s="3" t="s">
        <v>13</v>
      </c>
      <c r="N71" s="2">
        <v>0</v>
      </c>
      <c r="O71" t="str">
        <f>IF(Table1[[#This Row],[LookupTable]]="","",ISNUMBER(MATCH(Table1[[#This Row],[LookupTable]],[1]!Table1[TableName],0)))</f>
        <v/>
      </c>
    </row>
    <row r="72" spans="1:15" ht="15" customHeight="1" x14ac:dyDescent="0.25">
      <c r="A72" s="2"/>
      <c r="B72" s="5" t="s">
        <v>71</v>
      </c>
      <c r="C72" s="3" t="str">
        <f>"tblDetail"&amp;Table1[[#This Row],[Friendly Table Name]]</f>
        <v>tblDetailSAP</v>
      </c>
      <c r="D72" s="3">
        <v>2</v>
      </c>
      <c r="E72" s="3" t="str">
        <f>SUBSTITUTE(Table1[[#This Row],[Caption]]," ","")</f>
        <v>Equipment</v>
      </c>
      <c r="F72" s="3" t="s">
        <v>12</v>
      </c>
      <c r="G72" s="3" t="s">
        <v>48</v>
      </c>
      <c r="H72" s="3" t="s">
        <v>13</v>
      </c>
      <c r="I72" s="3" t="s">
        <v>13</v>
      </c>
      <c r="J72" s="3" t="s">
        <v>13</v>
      </c>
      <c r="K72" s="2">
        <v>4</v>
      </c>
      <c r="L72" s="2">
        <v>0.63500000000000001</v>
      </c>
      <c r="M72" s="3" t="s">
        <v>13</v>
      </c>
      <c r="N72" s="2">
        <v>0</v>
      </c>
      <c r="O72" t="str">
        <f>IF(Table1[[#This Row],[LookupTable]]="","",ISNUMBER(MATCH(Table1[[#This Row],[LookupTable]],[1]!Table1[TableName],0)))</f>
        <v/>
      </c>
    </row>
    <row r="73" spans="1:15" ht="15" customHeight="1" x14ac:dyDescent="0.25">
      <c r="A73" s="2"/>
      <c r="B73" s="5" t="s">
        <v>71</v>
      </c>
      <c r="C73" s="3" t="str">
        <f>"tblDetail"&amp;Table1[[#This Row],[Friendly Table Name]]</f>
        <v>tblDetailSAP</v>
      </c>
      <c r="D73" s="3">
        <v>3</v>
      </c>
      <c r="E73" s="3" t="str">
        <f>SUBSTITUTE(Table1[[#This Row],[Caption]]," ","")</f>
        <v>Asset</v>
      </c>
      <c r="F73" s="3" t="s">
        <v>12</v>
      </c>
      <c r="G73" s="3" t="s">
        <v>47</v>
      </c>
      <c r="H73" s="3" t="s">
        <v>13</v>
      </c>
      <c r="I73" s="3" t="s">
        <v>13</v>
      </c>
      <c r="J73" s="3" t="s">
        <v>13</v>
      </c>
      <c r="K73" s="2">
        <v>4</v>
      </c>
      <c r="L73" s="2">
        <v>0.63500000000000001</v>
      </c>
      <c r="M73" s="3" t="s">
        <v>13</v>
      </c>
      <c r="N73" s="2">
        <v>0</v>
      </c>
      <c r="O73" t="str">
        <f>IF(Table1[[#This Row],[LookupTable]]="","",ISNUMBER(MATCH(Table1[[#This Row],[LookupTable]],[1]!Table1[TableName],0)))</f>
        <v/>
      </c>
    </row>
    <row r="74" spans="1:15" ht="15" customHeight="1" x14ac:dyDescent="0.25">
      <c r="A74" s="2"/>
      <c r="B74" s="5" t="s">
        <v>71</v>
      </c>
      <c r="C74" s="3" t="str">
        <f>"tblDetail"&amp;Table1[[#This Row],[Friendly Table Name]]</f>
        <v>tblDetailSAP</v>
      </c>
      <c r="D74" s="3">
        <v>4</v>
      </c>
      <c r="E74" s="3" t="str">
        <f>SUBSTITUTE(Table1[[#This Row],[Caption]]," ","")</f>
        <v>MRN</v>
      </c>
      <c r="F74" s="3" t="s">
        <v>12</v>
      </c>
      <c r="G74" s="3" t="s">
        <v>50</v>
      </c>
      <c r="H74" s="3" t="s">
        <v>13</v>
      </c>
      <c r="I74" s="3" t="s">
        <v>13</v>
      </c>
      <c r="J74" s="3" t="s">
        <v>13</v>
      </c>
      <c r="K74" s="2">
        <v>4</v>
      </c>
      <c r="L74" s="2">
        <v>0.63500000000000001</v>
      </c>
      <c r="M74" s="3" t="s">
        <v>13</v>
      </c>
      <c r="N74" s="2">
        <v>0</v>
      </c>
      <c r="O74" t="str">
        <f>IF(Table1[[#This Row],[LookupTable]]="","",ISNUMBER(MATCH(Table1[[#This Row],[LookupTable]],[1]!Table1[TableName],0)))</f>
        <v/>
      </c>
    </row>
    <row r="75" spans="1:15" ht="15" customHeight="1" x14ac:dyDescent="0.25">
      <c r="A75" s="2"/>
      <c r="B75" s="5" t="s">
        <v>53</v>
      </c>
      <c r="C75" s="3" t="str">
        <f>"tblDetail"&amp;Table1[[#This Row],[Friendly Table Name]]</f>
        <v>tblDetailService</v>
      </c>
      <c r="D75" s="3">
        <v>1</v>
      </c>
      <c r="E75" s="3" t="str">
        <f>SUBSTITUTE(Table1[[#This Row],[Caption]]," ","")</f>
        <v>Service</v>
      </c>
      <c r="F75" s="3" t="s">
        <v>35</v>
      </c>
      <c r="G75" s="3" t="s">
        <v>53</v>
      </c>
      <c r="H75" s="3" t="s">
        <v>150</v>
      </c>
      <c r="I75" s="3" t="s">
        <v>13</v>
      </c>
      <c r="J75" s="3" t="s">
        <v>13</v>
      </c>
      <c r="K75" s="2">
        <v>4</v>
      </c>
      <c r="L75" s="2">
        <v>0.63500000000000001</v>
      </c>
      <c r="M75" s="3" t="s">
        <v>13</v>
      </c>
      <c r="N75" s="2">
        <v>0</v>
      </c>
      <c r="O75" t="b">
        <f>IF(Table1[[#This Row],[LookupTable]]="","",ISNUMBER(MATCH(Table1[[#This Row],[LookupTable]],[1]!Table1[TableName],0)))</f>
        <v>1</v>
      </c>
    </row>
    <row r="76" spans="1:15" ht="15" customHeight="1" x14ac:dyDescent="0.25">
      <c r="A76" s="2"/>
      <c r="B76" s="5" t="s">
        <v>53</v>
      </c>
      <c r="C76" s="3" t="str">
        <f>"tblDetail"&amp;Table1[[#This Row],[Friendly Table Name]]</f>
        <v>tblDetailService</v>
      </c>
      <c r="D76" s="3">
        <v>2</v>
      </c>
      <c r="E76" s="3" t="str">
        <f>SUBSTITUTE(Table1[[#This Row],[Caption]]," ","")</f>
        <v>Product</v>
      </c>
      <c r="F76" s="3" t="s">
        <v>35</v>
      </c>
      <c r="G76" s="3" t="s">
        <v>52</v>
      </c>
      <c r="H76" s="3" t="s">
        <v>161</v>
      </c>
      <c r="I76" s="3" t="s">
        <v>13</v>
      </c>
      <c r="J76" s="3" t="s">
        <v>13</v>
      </c>
      <c r="K76" s="2">
        <v>4</v>
      </c>
      <c r="L76" s="2">
        <v>0.63500000000000001</v>
      </c>
      <c r="M76" s="3" t="s">
        <v>13</v>
      </c>
      <c r="N76" s="2">
        <v>0</v>
      </c>
      <c r="O76" t="b">
        <f>IF(Table1[[#This Row],[LookupTable]]="","",ISNUMBER(MATCH(Table1[[#This Row],[LookupTable]],[1]!Table1[TableName],0)))</f>
        <v>1</v>
      </c>
    </row>
    <row r="77" spans="1:15" ht="15" customHeight="1" x14ac:dyDescent="0.25">
      <c r="A77" s="2"/>
      <c r="B77" s="5" t="s">
        <v>53</v>
      </c>
      <c r="C77" s="3" t="str">
        <f>"tblDetail"&amp;Table1[[#This Row],[Friendly Table Name]]</f>
        <v>tblDetailService</v>
      </c>
      <c r="D77" s="3">
        <v>3</v>
      </c>
      <c r="E77" s="3" t="str">
        <f>SUBSTITUTE(Table1[[#This Row],[Caption]]," ","")</f>
        <v>OperationalCapacity</v>
      </c>
      <c r="F77" s="3" t="s">
        <v>27</v>
      </c>
      <c r="G77" s="3" t="s">
        <v>51</v>
      </c>
      <c r="H77" s="3" t="s">
        <v>13</v>
      </c>
      <c r="I77" s="3" t="s">
        <v>13</v>
      </c>
      <c r="J77" s="3" t="s">
        <v>39</v>
      </c>
      <c r="K77" s="2">
        <v>4</v>
      </c>
      <c r="L77" s="2">
        <v>0.63500000000000001</v>
      </c>
      <c r="M77" s="3" t="s">
        <v>29</v>
      </c>
      <c r="N77" s="2">
        <v>3</v>
      </c>
      <c r="O77" t="str">
        <f>IF(Table1[[#This Row],[LookupTable]]="","",ISNUMBER(MATCH(Table1[[#This Row],[LookupTable]],[1]!Table1[TableName],0)))</f>
        <v/>
      </c>
    </row>
    <row r="78" spans="1:15" ht="15" customHeight="1" x14ac:dyDescent="0.25">
      <c r="B78" s="7" t="s">
        <v>125</v>
      </c>
      <c r="C78" t="str">
        <f>"tblDetail"&amp;Table1[[#This Row],[Friendly Table Name]]</f>
        <v>tblDetailStrakes</v>
      </c>
      <c r="D78">
        <v>1</v>
      </c>
      <c r="E78" s="8" t="str">
        <f>SUBSTITUTE(Table1[[#This Row],[Caption]]," ","")</f>
        <v>StrakeNumber</v>
      </c>
      <c r="F78" t="s">
        <v>35</v>
      </c>
      <c r="G78" t="s">
        <v>126</v>
      </c>
      <c r="K78" s="2">
        <v>2</v>
      </c>
      <c r="L78" s="2">
        <v>0.63500000000000001</v>
      </c>
      <c r="M78" s="3" t="s">
        <v>13</v>
      </c>
      <c r="N78" s="2">
        <v>3</v>
      </c>
      <c r="O78" t="str">
        <f>IF(Table1[[#This Row],[LookupTable]]="","",ISNUMBER(MATCH(Table1[[#This Row],[LookupTable]],[1]!Table1[TableName],0)))</f>
        <v/>
      </c>
    </row>
    <row r="79" spans="1:15" ht="15" customHeight="1" x14ac:dyDescent="0.25">
      <c r="B79" s="7" t="s">
        <v>125</v>
      </c>
      <c r="C79" t="str">
        <f>"tblDetail"&amp;Table1[[#This Row],[Friendly Table Name]]</f>
        <v>tblDetailStrakes</v>
      </c>
      <c r="D79">
        <v>2</v>
      </c>
      <c r="E79" s="8" t="str">
        <f>SUBSTITUTE(Table1[[#This Row],[Caption]]," ","")</f>
        <v>Thickness</v>
      </c>
      <c r="F79" t="s">
        <v>27</v>
      </c>
      <c r="G79" t="s">
        <v>127</v>
      </c>
      <c r="J79" t="s">
        <v>164</v>
      </c>
      <c r="K79" s="2">
        <v>4</v>
      </c>
      <c r="L79" s="2">
        <v>0.63500000000000001</v>
      </c>
      <c r="M79" s="11" t="s">
        <v>37</v>
      </c>
      <c r="N79" s="2">
        <v>0</v>
      </c>
      <c r="O79" t="str">
        <f>IF(Table1[[#This Row],[LookupTable]]="","",ISNUMBER(MATCH(Table1[[#This Row],[LookupTable]],[1]!Table1[TableName],0)))</f>
        <v/>
      </c>
    </row>
    <row r="80" spans="1:15" ht="15" customHeight="1" x14ac:dyDescent="0.25">
      <c r="B80" s="7" t="s">
        <v>125</v>
      </c>
      <c r="C80" t="str">
        <f>"tblDetail"&amp;Table1[[#This Row],[Friendly Table Name]]</f>
        <v>tblDetailStrakes</v>
      </c>
      <c r="D80">
        <v>3</v>
      </c>
      <c r="E80" s="8" t="str">
        <f>SUBSTITUTE(Table1[[#This Row],[Caption]]," ","")</f>
        <v>Height</v>
      </c>
      <c r="F80" t="s">
        <v>27</v>
      </c>
      <c r="G80" t="s">
        <v>9</v>
      </c>
      <c r="J80" t="s">
        <v>164</v>
      </c>
      <c r="K80" s="2">
        <v>4</v>
      </c>
      <c r="L80" s="2">
        <v>0.63500000000000001</v>
      </c>
      <c r="M80" s="3" t="s">
        <v>13</v>
      </c>
      <c r="N80" s="2">
        <v>0</v>
      </c>
      <c r="O80" t="str">
        <f>IF(Table1[[#This Row],[LookupTable]]="","",ISNUMBER(MATCH(Table1[[#This Row],[LookupTable]],[1]!Table1[TableName],0)))</f>
        <v/>
      </c>
    </row>
    <row r="81" spans="1:15" ht="15" customHeight="1" x14ac:dyDescent="0.25">
      <c r="B81" s="7" t="s">
        <v>125</v>
      </c>
      <c r="C81" t="str">
        <f>"tblDetail"&amp;Table1[[#This Row],[Friendly Table Name]]</f>
        <v>tblDetailStrakes</v>
      </c>
      <c r="D81">
        <v>4</v>
      </c>
      <c r="E81" s="8" t="str">
        <f>SUBSTITUTE(Table1[[#This Row],[Caption]]," ","")</f>
        <v>Length</v>
      </c>
      <c r="F81" t="s">
        <v>27</v>
      </c>
      <c r="G81" t="s">
        <v>128</v>
      </c>
      <c r="J81" t="s">
        <v>164</v>
      </c>
      <c r="K81" s="2">
        <v>4</v>
      </c>
      <c r="L81" s="2">
        <v>0.63500000000000001</v>
      </c>
      <c r="M81" s="3" t="s">
        <v>13</v>
      </c>
      <c r="N81" s="2">
        <v>0</v>
      </c>
      <c r="O81" t="str">
        <f>IF(Table1[[#This Row],[LookupTable]]="","",ISNUMBER(MATCH(Table1[[#This Row],[LookupTable]],[1]!Table1[TableName],0)))</f>
        <v/>
      </c>
    </row>
    <row r="82" spans="1:15" ht="15" customHeight="1" x14ac:dyDescent="0.25">
      <c r="B82" s="7" t="s">
        <v>129</v>
      </c>
      <c r="C82" t="str">
        <f>"tblDetail"&amp;Table1[[#This Row],[Friendly Table Name]]</f>
        <v>tblDetailTankCRRL</v>
      </c>
      <c r="D82">
        <v>1</v>
      </c>
      <c r="E82" s="8" t="str">
        <f>SUBSTITUTE(Table1[[#This Row],[Caption]]," ","")</f>
        <v>MaximumCorrosionRate</v>
      </c>
      <c r="F82" t="s">
        <v>27</v>
      </c>
      <c r="G82" t="s">
        <v>130</v>
      </c>
      <c r="J82" t="s">
        <v>133</v>
      </c>
      <c r="K82" s="2">
        <v>4</v>
      </c>
      <c r="L82" s="2">
        <v>0.63500000000000001</v>
      </c>
      <c r="M82" s="11" t="s">
        <v>37</v>
      </c>
      <c r="N82" s="2">
        <v>0</v>
      </c>
      <c r="O82" t="str">
        <f>IF(Table1[[#This Row],[LookupTable]]="","",ISNUMBER(MATCH(Table1[[#This Row],[LookupTable]],[1]!Table1[TableName],0)))</f>
        <v/>
      </c>
    </row>
    <row r="83" spans="1:15" ht="15" customHeight="1" x14ac:dyDescent="0.25">
      <c r="B83" s="7" t="s">
        <v>129</v>
      </c>
      <c r="C83" t="str">
        <f>"tblDetail"&amp;Table1[[#This Row],[Friendly Table Name]]</f>
        <v>tblDetailTankCRRL</v>
      </c>
      <c r="D83">
        <v>2</v>
      </c>
      <c r="E83" s="8" t="str">
        <f>SUBSTITUTE(Table1[[#This Row],[Caption]]," ","")</f>
        <v>MinimumRemainingLife</v>
      </c>
      <c r="F83" t="s">
        <v>27</v>
      </c>
      <c r="G83" t="s">
        <v>131</v>
      </c>
      <c r="J83" t="s">
        <v>134</v>
      </c>
      <c r="K83" s="2">
        <v>4</v>
      </c>
      <c r="L83" s="2">
        <v>0.63500000000000001</v>
      </c>
      <c r="M83" s="11" t="s">
        <v>167</v>
      </c>
      <c r="N83" s="2">
        <v>0</v>
      </c>
      <c r="O83" t="str">
        <f>IF(Table1[[#This Row],[LookupTable]]="","",ISNUMBER(MATCH(Table1[[#This Row],[LookupTable]],[1]!Table1[TableName],0)))</f>
        <v/>
      </c>
    </row>
    <row r="84" spans="1:15" ht="15" customHeight="1" x14ac:dyDescent="0.25">
      <c r="B84" s="7" t="s">
        <v>129</v>
      </c>
      <c r="C84" t="str">
        <f>"tblDetail"&amp;Table1[[#This Row],[Friendly Table Name]]</f>
        <v>tblDetailTankCRRL</v>
      </c>
      <c r="D84">
        <v>3</v>
      </c>
      <c r="E84" s="8" t="str">
        <f>SUBSTITUTE(Table1[[#This Row],[Caption]]," ","")</f>
        <v>StrakesCalculated</v>
      </c>
      <c r="F84" t="s">
        <v>35</v>
      </c>
      <c r="G84" t="s">
        <v>132</v>
      </c>
      <c r="K84" s="2">
        <v>2</v>
      </c>
      <c r="L84" s="2">
        <v>0.63500000000000001</v>
      </c>
      <c r="M84" s="3" t="s">
        <v>13</v>
      </c>
      <c r="N84" s="2">
        <v>3</v>
      </c>
      <c r="O84" t="str">
        <f>IF(Table1[[#This Row],[LookupTable]]="","",ISNUMBER(MATCH(Table1[[#This Row],[LookupTable]],[1]!Table1[TableName],0)))</f>
        <v/>
      </c>
    </row>
    <row r="85" spans="1:15" ht="15" customHeight="1" x14ac:dyDescent="0.25">
      <c r="A85" s="2"/>
      <c r="B85" s="5" t="s">
        <v>72</v>
      </c>
      <c r="C85" s="3" t="str">
        <f>"tblDetail"&amp;Table1[[#This Row],[Friendly Table Name]]</f>
        <v>tblDetailTankDesign</v>
      </c>
      <c r="D85" s="3">
        <v>1</v>
      </c>
      <c r="E85" s="3" t="str">
        <f>SUBSTITUTE(Table1[[#This Row],[Caption]]," ","")</f>
        <v>Orientation</v>
      </c>
      <c r="F85" s="3" t="s">
        <v>35</v>
      </c>
      <c r="G85" s="3" t="s">
        <v>60</v>
      </c>
      <c r="H85" s="3" t="s">
        <v>61</v>
      </c>
      <c r="I85" s="3" t="s">
        <v>13</v>
      </c>
      <c r="J85" s="3" t="s">
        <v>13</v>
      </c>
      <c r="K85" s="2">
        <v>4</v>
      </c>
      <c r="L85" s="2">
        <v>0.63500000000000001</v>
      </c>
      <c r="M85" s="3" t="s">
        <v>13</v>
      </c>
      <c r="N85" s="2">
        <v>0</v>
      </c>
      <c r="O85" t="b">
        <f>IF(Table1[[#This Row],[LookupTable]]="","",ISNUMBER(MATCH(Table1[[#This Row],[LookupTable]],[1]!Table1[TableName],0)))</f>
        <v>1</v>
      </c>
    </row>
    <row r="86" spans="1:15" ht="15" customHeight="1" x14ac:dyDescent="0.25">
      <c r="A86" s="2"/>
      <c r="B86" s="5" t="s">
        <v>72</v>
      </c>
      <c r="C86" s="3" t="str">
        <f>"tblDetail"&amp;Table1[[#This Row],[Friendly Table Name]]</f>
        <v>tblDetailTankDesign</v>
      </c>
      <c r="D86" s="3">
        <v>2</v>
      </c>
      <c r="E86" s="3" t="str">
        <f>SUBSTITUTE(Table1[[#This Row],[Caption]]," ","")</f>
        <v>Elevation</v>
      </c>
      <c r="F86" s="3" t="s">
        <v>35</v>
      </c>
      <c r="G86" s="3" t="s">
        <v>55</v>
      </c>
      <c r="H86" s="3" t="s">
        <v>56</v>
      </c>
      <c r="I86" s="3" t="s">
        <v>13</v>
      </c>
      <c r="J86" s="3" t="s">
        <v>13</v>
      </c>
      <c r="K86" s="2">
        <v>4</v>
      </c>
      <c r="L86" s="2">
        <v>0.63500000000000001</v>
      </c>
      <c r="M86" s="3" t="s">
        <v>13</v>
      </c>
      <c r="N86" s="2">
        <v>0</v>
      </c>
      <c r="O86" t="b">
        <f>IF(Table1[[#This Row],[LookupTable]]="","",ISNUMBER(MATCH(Table1[[#This Row],[LookupTable]],[1]!Table1[TableName],0)))</f>
        <v>1</v>
      </c>
    </row>
    <row r="87" spans="1:15" ht="15" customHeight="1" x14ac:dyDescent="0.25">
      <c r="A87" s="2"/>
      <c r="B87" s="5" t="s">
        <v>72</v>
      </c>
      <c r="C87" s="3" t="str">
        <f>"tblDetail"&amp;Table1[[#This Row],[Friendly Table Name]]</f>
        <v>tblDetailTankDesign</v>
      </c>
      <c r="D87" s="3">
        <v>3</v>
      </c>
      <c r="E87" s="3" t="str">
        <f>SUBSTITUTE(Table1[[#This Row],[Caption]]," ","")</f>
        <v>RoofType</v>
      </c>
      <c r="F87" s="3" t="s">
        <v>35</v>
      </c>
      <c r="G87" s="3" t="s">
        <v>83</v>
      </c>
      <c r="H87" s="3" t="s">
        <v>62</v>
      </c>
      <c r="I87" s="3" t="s">
        <v>13</v>
      </c>
      <c r="J87" s="3" t="s">
        <v>13</v>
      </c>
      <c r="K87" s="2">
        <v>4</v>
      </c>
      <c r="L87" s="2">
        <v>0.63500000000000001</v>
      </c>
      <c r="M87" s="3" t="s">
        <v>13</v>
      </c>
      <c r="N87" s="2">
        <v>0</v>
      </c>
      <c r="O87" t="b">
        <f>IF(Table1[[#This Row],[LookupTable]]="","",ISNUMBER(MATCH(Table1[[#This Row],[LookupTable]],[1]!Table1[TableName],0)))</f>
        <v>1</v>
      </c>
    </row>
    <row r="88" spans="1:15" ht="15" customHeight="1" x14ac:dyDescent="0.25">
      <c r="A88" s="2"/>
      <c r="B88" s="5" t="s">
        <v>72</v>
      </c>
      <c r="C88" s="3" t="str">
        <f>"tblDetail"&amp;Table1[[#This Row],[Friendly Table Name]]</f>
        <v>tblDetailTankDesign</v>
      </c>
      <c r="D88" s="3">
        <v>4</v>
      </c>
      <c r="E88" s="3" t="str">
        <f>SUBSTITUTE(Table1[[#This Row],[Caption]]," ","")</f>
        <v>FloatingRoof</v>
      </c>
      <c r="F88" s="3" t="s">
        <v>35</v>
      </c>
      <c r="G88" s="3" t="s">
        <v>79</v>
      </c>
      <c r="H88" s="3" t="s">
        <v>58</v>
      </c>
      <c r="I88" s="3" t="s">
        <v>13</v>
      </c>
      <c r="J88" s="3" t="s">
        <v>13</v>
      </c>
      <c r="K88" s="2">
        <v>4</v>
      </c>
      <c r="L88" s="2">
        <v>0.63500000000000001</v>
      </c>
      <c r="M88" s="3" t="s">
        <v>13</v>
      </c>
      <c r="N88" s="2">
        <v>0</v>
      </c>
      <c r="O88" t="b">
        <f>IF(Table1[[#This Row],[LookupTable]]="","",ISNUMBER(MATCH(Table1[[#This Row],[LookupTable]],[1]!Table1[TableName],0)))</f>
        <v>1</v>
      </c>
    </row>
    <row r="89" spans="1:15" ht="15" customHeight="1" x14ac:dyDescent="0.25">
      <c r="A89" s="2"/>
      <c r="B89" s="5" t="s">
        <v>72</v>
      </c>
      <c r="C89" s="3" t="str">
        <f>"tblDetail"&amp;Table1[[#This Row],[Friendly Table Name]]</f>
        <v>tblDetailTankDesign</v>
      </c>
      <c r="D89" s="3">
        <v>5</v>
      </c>
      <c r="E89" s="3" t="str">
        <f>SUBSTITUTE(Table1[[#This Row],[Caption]]," ","")</f>
        <v>HorizontalEnds</v>
      </c>
      <c r="F89" s="3" t="s">
        <v>35</v>
      </c>
      <c r="G89" s="3" t="s">
        <v>80</v>
      </c>
      <c r="H89" s="3" t="s">
        <v>59</v>
      </c>
      <c r="I89" s="3" t="s">
        <v>13</v>
      </c>
      <c r="J89" s="3" t="s">
        <v>13</v>
      </c>
      <c r="K89" s="2">
        <v>4</v>
      </c>
      <c r="L89" s="2">
        <v>0.63500000000000001</v>
      </c>
      <c r="M89" s="3" t="s">
        <v>13</v>
      </c>
      <c r="N89" s="2">
        <v>0</v>
      </c>
      <c r="O89" t="b">
        <f>IF(Table1[[#This Row],[LookupTable]]="","",ISNUMBER(MATCH(Table1[[#This Row],[LookupTable]],[1]!Table1[TableName],0)))</f>
        <v>1</v>
      </c>
    </row>
    <row r="90" spans="1:15" ht="15" customHeight="1" x14ac:dyDescent="0.25">
      <c r="A90" s="2"/>
      <c r="B90" s="5" t="s">
        <v>72</v>
      </c>
      <c r="C90" s="3" t="str">
        <f>"tblDetail"&amp;Table1[[#This Row],[Friendly Table Name]]</f>
        <v>tblDetailTankDesign</v>
      </c>
      <c r="D90" s="3">
        <v>6</v>
      </c>
      <c r="E90" s="3" t="str">
        <f>SUBSTITUTE(Table1[[#This Row],[Caption]]," ","")</f>
        <v>Compartmented</v>
      </c>
      <c r="F90" s="3" t="s">
        <v>12</v>
      </c>
      <c r="G90" s="3" t="s">
        <v>54</v>
      </c>
      <c r="H90" s="3" t="s">
        <v>13</v>
      </c>
      <c r="I90" s="3" t="s">
        <v>13</v>
      </c>
      <c r="J90" s="3" t="s">
        <v>13</v>
      </c>
      <c r="K90" s="2">
        <v>4</v>
      </c>
      <c r="L90" s="2">
        <v>0.63500000000000001</v>
      </c>
      <c r="M90" s="3" t="s">
        <v>13</v>
      </c>
      <c r="N90" s="2">
        <v>0</v>
      </c>
      <c r="O90" t="str">
        <f>IF(Table1[[#This Row],[LookupTable]]="","",ISNUMBER(MATCH(Table1[[#This Row],[LookupTable]],[1]!Table1[TableName],0)))</f>
        <v/>
      </c>
    </row>
    <row r="91" spans="1:15" ht="15" customHeight="1" x14ac:dyDescent="0.25">
      <c r="B91" s="7" t="s">
        <v>135</v>
      </c>
      <c r="C91" t="str">
        <f>"tblDetail"&amp;Table1[[#This Row],[Friendly Table Name]]</f>
        <v>tblDetailTankGauging</v>
      </c>
      <c r="D91">
        <v>1</v>
      </c>
      <c r="E91" s="8" t="str">
        <f>SUBSTITUTE(Table1[[#This Row],[Caption]]," ","")</f>
        <v>Gauge</v>
      </c>
      <c r="F91" s="3" t="s">
        <v>12</v>
      </c>
      <c r="G91" t="s">
        <v>136</v>
      </c>
      <c r="K91" s="2">
        <v>4</v>
      </c>
      <c r="L91" s="2">
        <v>0.63500000000000001</v>
      </c>
      <c r="M91" s="3" t="s">
        <v>13</v>
      </c>
      <c r="N91" s="2">
        <v>0</v>
      </c>
      <c r="O91" t="str">
        <f>IF(Table1[[#This Row],[LookupTable]]="","",ISNUMBER(MATCH(Table1[[#This Row],[LookupTable]],[1]!Table1[TableName],0)))</f>
        <v/>
      </c>
    </row>
    <row r="92" spans="1:15" ht="15" customHeight="1" x14ac:dyDescent="0.25">
      <c r="B92" s="7" t="s">
        <v>135</v>
      </c>
      <c r="C92" t="str">
        <f>"tblDetail"&amp;Table1[[#This Row],[Friendly Table Name]]</f>
        <v>tblDetailTankGauging</v>
      </c>
      <c r="D92">
        <v>2</v>
      </c>
      <c r="E92" s="8" t="str">
        <f>SUBSTITUTE(Table1[[#This Row],[Caption]]," ","")</f>
        <v>Antennae</v>
      </c>
      <c r="F92" s="3" t="s">
        <v>12</v>
      </c>
      <c r="G92" t="s">
        <v>137</v>
      </c>
      <c r="K92" s="2">
        <v>4</v>
      </c>
      <c r="L92" s="2">
        <v>0.63500000000000001</v>
      </c>
      <c r="M92" s="3" t="s">
        <v>13</v>
      </c>
      <c r="N92" s="2">
        <v>0</v>
      </c>
      <c r="O92" t="str">
        <f>IF(Table1[[#This Row],[LookupTable]]="","",ISNUMBER(MATCH(Table1[[#This Row],[LookupTable]],[1]!Table1[TableName],0)))</f>
        <v/>
      </c>
    </row>
    <row r="93" spans="1:15" ht="15" customHeight="1" x14ac:dyDescent="0.25">
      <c r="B93" s="7" t="s">
        <v>135</v>
      </c>
      <c r="C93" t="str">
        <f>"tblDetail"&amp;Table1[[#This Row],[Friendly Table Name]]</f>
        <v>tblDetailTankGauging</v>
      </c>
      <c r="D93">
        <v>3</v>
      </c>
      <c r="E93" s="8" t="str">
        <f>SUBSTITUTE(Table1[[#This Row],[Caption]]," ","")</f>
        <v>PipeDiameter</v>
      </c>
      <c r="F93" s="3" t="s">
        <v>12</v>
      </c>
      <c r="G93" t="s">
        <v>138</v>
      </c>
      <c r="K93" s="2">
        <v>4</v>
      </c>
      <c r="L93" s="2">
        <v>0.63500000000000001</v>
      </c>
      <c r="M93" s="3" t="s">
        <v>13</v>
      </c>
      <c r="N93" s="2">
        <v>0</v>
      </c>
      <c r="O93" t="str">
        <f>IF(Table1[[#This Row],[LookupTable]]="","",ISNUMBER(MATCH(Table1[[#This Row],[LookupTable]],[1]!Table1[TableName],0)))</f>
        <v/>
      </c>
    </row>
    <row r="94" spans="1:15" ht="15" customHeight="1" x14ac:dyDescent="0.25">
      <c r="B94" s="7" t="s">
        <v>135</v>
      </c>
      <c r="C94" t="str">
        <f>"tblDetail"&amp;Table1[[#This Row],[Friendly Table Name]]</f>
        <v>tblDetailTankGauging</v>
      </c>
      <c r="D94">
        <v>4</v>
      </c>
      <c r="E94" s="8" t="str">
        <f>SUBSTITUTE(Table1[[#This Row],[Caption]]," ","")</f>
        <v>TemperatureSpots</v>
      </c>
      <c r="F94" s="3" t="s">
        <v>12</v>
      </c>
      <c r="G94" t="s">
        <v>139</v>
      </c>
      <c r="K94" s="2">
        <v>4</v>
      </c>
      <c r="L94" s="2">
        <v>0.63500000000000001</v>
      </c>
      <c r="M94" s="3" t="s">
        <v>13</v>
      </c>
      <c r="N94" s="2">
        <v>0</v>
      </c>
      <c r="O94" t="str">
        <f>IF(Table1[[#This Row],[LookupTable]]="","",ISNUMBER(MATCH(Table1[[#This Row],[LookupTable]],[1]!Table1[TableName],0)))</f>
        <v/>
      </c>
    </row>
    <row r="95" spans="1:15" ht="15" customHeight="1" x14ac:dyDescent="0.25">
      <c r="B95" s="7" t="s">
        <v>135</v>
      </c>
      <c r="C95" t="str">
        <f>"tblDetail"&amp;Table1[[#This Row],[Friendly Table Name]]</f>
        <v>tblDetailTankGauging</v>
      </c>
      <c r="D95">
        <v>5</v>
      </c>
      <c r="E95" s="8" t="str">
        <f>SUBSTITUTE(Table1[[#This Row],[Caption]]," ","")</f>
        <v>ATGUI</v>
      </c>
      <c r="F95" s="3" t="s">
        <v>12</v>
      </c>
      <c r="G95" t="s">
        <v>140</v>
      </c>
      <c r="K95" s="2">
        <v>4</v>
      </c>
      <c r="L95" s="2">
        <v>0.63500000000000001</v>
      </c>
      <c r="M95" s="3" t="s">
        <v>13</v>
      </c>
      <c r="N95" s="2">
        <v>0</v>
      </c>
      <c r="O95" t="str">
        <f>IF(Table1[[#This Row],[LookupTable]]="","",ISNUMBER(MATCH(Table1[[#This Row],[LookupTable]],[1]!Table1[TableName],0)))</f>
        <v/>
      </c>
    </row>
    <row r="96" spans="1:15" ht="15" customHeight="1" x14ac:dyDescent="0.25">
      <c r="B96" s="7" t="s">
        <v>135</v>
      </c>
      <c r="C96" t="str">
        <f>"tblDetail"&amp;Table1[[#This Row],[Friendly Table Name]]</f>
        <v>tblDetailTankGauging</v>
      </c>
      <c r="D96">
        <v>6</v>
      </c>
      <c r="E96" s="8" t="str">
        <f>SUBSTITUTE(Table1[[#This Row],[Caption]]," ","")</f>
        <v>SerialNumber</v>
      </c>
      <c r="F96" s="3" t="s">
        <v>12</v>
      </c>
      <c r="G96" t="s">
        <v>141</v>
      </c>
      <c r="K96" s="2">
        <v>4</v>
      </c>
      <c r="L96" s="2">
        <v>0.63500000000000001</v>
      </c>
      <c r="M96" s="3" t="s">
        <v>13</v>
      </c>
      <c r="N96" s="2">
        <v>0</v>
      </c>
      <c r="O96" t="str">
        <f>IF(Table1[[#This Row],[LookupTable]]="","",ISNUMBER(MATCH(Table1[[#This Row],[LookupTable]],[1]!Table1[TableName],0)))</f>
        <v/>
      </c>
    </row>
    <row r="97" spans="2:15" ht="15" customHeight="1" x14ac:dyDescent="0.25">
      <c r="B97" s="7" t="s">
        <v>142</v>
      </c>
      <c r="C97" t="str">
        <f>"tblDetail"&amp;Table1[[#This Row],[Friendly Table Name]]</f>
        <v>tblDetailTankVent</v>
      </c>
      <c r="D97">
        <v>1</v>
      </c>
      <c r="E97" s="8" t="str">
        <f>SUBSTITUTE(Table1[[#This Row],[Caption]]," ","")</f>
        <v>VentType</v>
      </c>
      <c r="F97" t="s">
        <v>35</v>
      </c>
      <c r="G97" t="s">
        <v>143</v>
      </c>
      <c r="H97" t="s">
        <v>158</v>
      </c>
      <c r="K97" s="2">
        <v>4</v>
      </c>
      <c r="L97" s="2">
        <v>0.63500000000000001</v>
      </c>
      <c r="M97" s="3" t="s">
        <v>13</v>
      </c>
      <c r="N97" s="2">
        <v>0</v>
      </c>
      <c r="O97" t="b">
        <f>IF(Table1[[#This Row],[LookupTable]]="","",ISNUMBER(MATCH(Table1[[#This Row],[LookupTable]],[1]!Table1[TableName],0)))</f>
        <v>1</v>
      </c>
    </row>
    <row r="98" spans="2:15" ht="15" customHeight="1" x14ac:dyDescent="0.25">
      <c r="B98" s="7" t="s">
        <v>142</v>
      </c>
      <c r="C98" t="str">
        <f>"tblDetail"&amp;Table1[[#This Row],[Friendly Table Name]]</f>
        <v>tblDetailTankVent</v>
      </c>
      <c r="D98">
        <v>2</v>
      </c>
      <c r="E98" s="8" t="str">
        <f>SUBSTITUTE(Table1[[#This Row],[Caption]]," ","")</f>
        <v>VentSize</v>
      </c>
      <c r="F98" s="3" t="s">
        <v>12</v>
      </c>
      <c r="G98" t="s">
        <v>144</v>
      </c>
      <c r="K98" s="2">
        <v>4</v>
      </c>
      <c r="L98" s="2">
        <v>0.63500000000000001</v>
      </c>
      <c r="M98" s="3" t="s">
        <v>13</v>
      </c>
      <c r="N98" s="2">
        <v>0</v>
      </c>
      <c r="O98" t="str">
        <f>IF(Table1[[#This Row],[LookupTable]]="","",ISNUMBER(MATCH(Table1[[#This Row],[LookupTable]],[1]!Table1[TableName],0)))</f>
        <v/>
      </c>
    </row>
    <row r="99" spans="2:15" ht="15" customHeight="1" x14ac:dyDescent="0.25">
      <c r="B99" s="7" t="s">
        <v>142</v>
      </c>
      <c r="C99" t="str">
        <f>"tblDetail"&amp;Table1[[#This Row],[Friendly Table Name]]</f>
        <v>tblDetailTankVent</v>
      </c>
      <c r="D99">
        <v>3</v>
      </c>
      <c r="E99" s="8" t="str">
        <f>SUBSTITUTE(Table1[[#This Row],[Caption]]," ","")</f>
        <v>PressureSetting</v>
      </c>
      <c r="F99" t="s">
        <v>27</v>
      </c>
      <c r="G99" t="s">
        <v>145</v>
      </c>
      <c r="J99" t="s">
        <v>165</v>
      </c>
      <c r="K99" s="2">
        <v>4</v>
      </c>
      <c r="L99" s="2">
        <v>0.63500000000000001</v>
      </c>
      <c r="M99" s="11" t="s">
        <v>166</v>
      </c>
      <c r="N99" s="2">
        <v>0</v>
      </c>
      <c r="O99" t="str">
        <f>IF(Table1[[#This Row],[LookupTable]]="","",ISNUMBER(MATCH(Table1[[#This Row],[LookupTable]],[1]!Table1[TableName],0)))</f>
        <v/>
      </c>
    </row>
    <row r="100" spans="2:15" ht="15" customHeight="1" x14ac:dyDescent="0.25">
      <c r="B100" s="7" t="s">
        <v>142</v>
      </c>
      <c r="C100" t="str">
        <f>"tblDetail"&amp;Table1[[#This Row],[Friendly Table Name]]</f>
        <v>tblDetailTankVent</v>
      </c>
      <c r="D100">
        <v>4</v>
      </c>
      <c r="E100" s="8" t="str">
        <f>SUBSTITUTE(Table1[[#This Row],[Caption]]," ","")</f>
        <v>VacuumSetting</v>
      </c>
      <c r="F100" t="s">
        <v>27</v>
      </c>
      <c r="G100" t="s">
        <v>146</v>
      </c>
      <c r="J100" t="s">
        <v>165</v>
      </c>
      <c r="K100" s="2">
        <v>4</v>
      </c>
      <c r="L100" s="2">
        <v>0.63500000000000001</v>
      </c>
      <c r="M100" s="3" t="s">
        <v>166</v>
      </c>
      <c r="N100" s="2">
        <v>0</v>
      </c>
      <c r="O100" t="str">
        <f>IF(Table1[[#This Row],[LookupTable]]="","",ISNUMBER(MATCH(Table1[[#This Row],[LookupTable]],[1]!Table1[TableName],0)))</f>
        <v/>
      </c>
    </row>
  </sheetData>
  <conditionalFormatting sqref="O2:O100">
    <cfRule type="cellIs" dxfId="0" priority="1" operator="equal">
      <formula>TRUE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metaSchema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2021-12-24T08:02:48Z</dcterms:created>
  <dcterms:modified xsi:type="dcterms:W3CDTF">2021-12-24T08:22:50Z</dcterms:modified>
</cp:coreProperties>
</file>